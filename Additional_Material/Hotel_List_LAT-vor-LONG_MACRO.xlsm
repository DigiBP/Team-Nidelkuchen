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I101730/Documents/FH/Master - FHNW/01_Modules/11_DBP/03_Assignment/"/>
    </mc:Choice>
  </mc:AlternateContent>
  <xr:revisionPtr revIDLastSave="0" documentId="13_ncr:1_{3D4C8E44-A6AE-834B-8B03-3361529BF01B}" xr6:coauthVersionLast="47" xr6:coauthVersionMax="47" xr10:uidLastSave="{00000000-0000-0000-0000-000000000000}"/>
  <bookViews>
    <workbookView xWindow="-1140" yWindow="-28300" windowWidth="39740" windowHeight="27980" activeTab="2" xr2:uid="{EA238DBB-A900-4A8D-B7F8-2D88496A0FD5}"/>
  </bookViews>
  <sheets>
    <sheet name="Host" sheetId="1" r:id="rId1"/>
    <sheet name="Host Variablen" sheetId="3" r:id="rId2"/>
    <sheet name="User-Scenarios I (Geolocation)" sheetId="5" r:id="rId3"/>
    <sheet name="User-Scenario A" sheetId="11" r:id="rId4"/>
    <sheet name="User-Scenario B" sheetId="19" r:id="rId5"/>
    <sheet name="User-Scenario C" sheetId="20" r:id="rId6"/>
    <sheet name="User-Scenario D" sheetId="21" r:id="rId7"/>
    <sheet name="User-Scenario E" sheetId="22" r:id="rId8"/>
    <sheet name="Distance User A" sheetId="12" r:id="rId9"/>
    <sheet name="Distance User B" sheetId="13" r:id="rId10"/>
    <sheet name="Distance User C" sheetId="14" r:id="rId11"/>
    <sheet name="Distance User D" sheetId="15" r:id="rId12"/>
    <sheet name="Distance User E" sheetId="16" r:id="rId13"/>
  </sheets>
  <functionGroups builtInGroupCount="19"/>
  <definedNames>
    <definedName name="_xlnm._FilterDatabase" localSheetId="0" hidden="1">Host!$B$1:$AA$1</definedName>
    <definedName name="_xlnm._FilterDatabase" localSheetId="3" hidden="1">'User-Scenario A'!$A$1:$AA$55</definedName>
    <definedName name="_xlnm._FilterDatabase" localSheetId="4" hidden="1">'User-Scenario B'!$A$1:$AA$55</definedName>
    <definedName name="_xlnm._FilterDatabase" localSheetId="5" hidden="1">'User-Scenario C'!$A$1:$AA$55</definedName>
    <definedName name="_xlnm._FilterDatabase" localSheetId="6" hidden="1">'User-Scenario D'!$A$1:$AA$55</definedName>
    <definedName name="_xlnm._FilterDatabase" localSheetId="7" hidden="1">'User-Scenario E'!$A$1:$AA$55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6" i="22" l="1"/>
  <c r="AC45" i="22"/>
  <c r="AC44" i="22"/>
  <c r="AC43" i="22"/>
  <c r="AC42" i="22"/>
  <c r="AC41" i="22"/>
  <c r="AC40" i="22"/>
  <c r="AC39" i="22"/>
  <c r="AC38" i="22"/>
  <c r="AC37" i="22"/>
  <c r="AC36" i="22"/>
  <c r="AC35" i="22"/>
  <c r="AC34" i="22"/>
  <c r="AC33" i="22"/>
  <c r="AC32" i="22"/>
  <c r="AC31" i="22"/>
  <c r="AC30" i="22"/>
  <c r="AC29" i="22"/>
  <c r="AC28" i="22"/>
  <c r="AC27" i="22"/>
  <c r="AC26" i="22"/>
  <c r="AC25" i="22"/>
  <c r="AC24" i="22"/>
  <c r="AC23" i="22"/>
  <c r="AC22" i="22"/>
  <c r="AC21" i="22"/>
  <c r="AC20" i="22"/>
  <c r="AC19" i="22"/>
  <c r="AC18" i="22"/>
  <c r="AC17" i="22"/>
  <c r="AC16" i="22"/>
  <c r="AC15" i="22"/>
  <c r="AC14" i="22"/>
  <c r="AC13" i="22"/>
  <c r="AC12" i="22"/>
  <c r="AC11" i="22"/>
  <c r="AC10" i="22"/>
  <c r="AC9" i="22"/>
  <c r="AC8" i="22"/>
  <c r="AC7" i="22"/>
  <c r="AC6" i="22"/>
  <c r="AC5" i="22"/>
  <c r="AC4" i="22"/>
  <c r="AC3" i="22"/>
  <c r="AC2" i="22"/>
  <c r="AC46" i="21"/>
  <c r="AC45" i="21"/>
  <c r="AC44" i="21"/>
  <c r="AC43" i="21"/>
  <c r="AC42" i="21"/>
  <c r="AC41" i="21"/>
  <c r="AC40" i="21"/>
  <c r="AC39" i="21"/>
  <c r="AC38" i="21"/>
  <c r="AC37" i="21"/>
  <c r="AC36" i="21"/>
  <c r="AC35" i="21"/>
  <c r="AC34" i="21"/>
  <c r="AC33" i="21"/>
  <c r="AC32" i="21"/>
  <c r="AC31" i="21"/>
  <c r="AC30" i="21"/>
  <c r="AC29" i="21"/>
  <c r="AC28" i="21"/>
  <c r="AC27" i="21"/>
  <c r="AC26" i="21"/>
  <c r="AC25" i="21"/>
  <c r="AC24" i="21"/>
  <c r="AC23" i="21"/>
  <c r="AC22" i="21"/>
  <c r="AC21" i="21"/>
  <c r="AC20" i="21"/>
  <c r="AC19" i="21"/>
  <c r="AC18" i="21"/>
  <c r="AC17" i="21"/>
  <c r="AC16" i="21"/>
  <c r="AC15" i="21"/>
  <c r="AC14" i="21"/>
  <c r="AC13" i="21"/>
  <c r="AC12" i="21"/>
  <c r="AC11" i="21"/>
  <c r="AC10" i="21"/>
  <c r="AC9" i="21"/>
  <c r="AC8" i="21"/>
  <c r="AC7" i="21"/>
  <c r="AC6" i="21"/>
  <c r="AC5" i="21"/>
  <c r="AC4" i="21"/>
  <c r="AC3" i="21"/>
  <c r="AC2" i="21"/>
  <c r="AC46" i="20"/>
  <c r="AC45" i="20"/>
  <c r="AC44" i="20"/>
  <c r="AC43" i="20"/>
  <c r="AC42" i="20"/>
  <c r="AC41" i="20"/>
  <c r="AC40" i="20"/>
  <c r="AC39" i="20"/>
  <c r="AC38" i="20"/>
  <c r="AC37" i="20"/>
  <c r="AC36" i="20"/>
  <c r="AC35" i="20"/>
  <c r="AC34" i="20"/>
  <c r="AC33" i="20"/>
  <c r="AC32" i="20"/>
  <c r="AC31" i="20"/>
  <c r="AC30" i="20"/>
  <c r="AC29" i="20"/>
  <c r="AC28" i="20"/>
  <c r="AC27" i="20"/>
  <c r="AC26" i="20"/>
  <c r="AC25" i="20"/>
  <c r="AC24" i="20"/>
  <c r="AC23" i="20"/>
  <c r="AC22" i="20"/>
  <c r="AC21" i="20"/>
  <c r="AC20" i="20"/>
  <c r="AC19" i="20"/>
  <c r="AC18" i="20"/>
  <c r="AC17" i="20"/>
  <c r="AC16" i="20"/>
  <c r="AC15" i="20"/>
  <c r="AC14" i="20"/>
  <c r="AC13" i="20"/>
  <c r="AC12" i="20"/>
  <c r="AC11" i="20"/>
  <c r="AC10" i="20"/>
  <c r="AC9" i="20"/>
  <c r="AC8" i="20"/>
  <c r="AC7" i="20"/>
  <c r="AC6" i="20"/>
  <c r="AC5" i="20"/>
  <c r="AC4" i="20"/>
  <c r="AC3" i="20"/>
  <c r="AC2" i="20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C3" i="19"/>
  <c r="AC2" i="19"/>
  <c r="AC46" i="11"/>
  <c r="AC45" i="11"/>
  <c r="AC44" i="11"/>
  <c r="AC43" i="11"/>
  <c r="AC42" i="11"/>
  <c r="AC41" i="11"/>
  <c r="AC40" i="11"/>
  <c r="AC39" i="11"/>
  <c r="AC38" i="11"/>
  <c r="AC37" i="11"/>
  <c r="AC36" i="11"/>
  <c r="AC35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C6" i="11"/>
  <c r="AC5" i="11"/>
  <c r="AC4" i="11"/>
  <c r="AC3" i="11"/>
  <c r="AC2" i="11"/>
  <c r="E4" i="16" a="1"/>
  <c r="E56" i="16" a="1"/>
  <c r="E40" i="16" a="1"/>
  <c r="E16" i="16" a="1"/>
  <c r="E52" i="16" a="1"/>
  <c r="E48" i="16" a="1"/>
  <c r="E44" i="16" a="1"/>
  <c r="E36" i="16" a="1"/>
  <c r="E32" i="16" a="1"/>
  <c r="E20" i="16" a="1"/>
  <c r="E51" i="16" a="1"/>
  <c r="E47" i="16" a="1"/>
  <c r="E43" i="16" a="1"/>
  <c r="E39" i="16" a="1"/>
  <c r="E35" i="16" a="1"/>
  <c r="E31" i="16" a="1"/>
  <c r="E27" i="16" a="1"/>
  <c r="E23" i="16" a="1"/>
  <c r="E19" i="16" a="1"/>
  <c r="E15" i="16" a="1"/>
  <c r="E11" i="16" a="1"/>
  <c r="E7" i="16" a="1"/>
  <c r="E54" i="16" a="1"/>
  <c r="E50" i="16" a="1"/>
  <c r="E46" i="16" a="1"/>
  <c r="E42" i="16" a="1"/>
  <c r="E38" i="16" a="1"/>
  <c r="E34" i="16" a="1"/>
  <c r="E30" i="16" a="1"/>
  <c r="E26" i="16" a="1"/>
  <c r="E22" i="16" a="1"/>
  <c r="E14" i="16" a="1"/>
  <c r="E10" i="16" a="1"/>
  <c r="E6" i="16" a="1"/>
  <c r="E37" i="16" a="1"/>
  <c r="E21" i="16" a="1"/>
  <c r="E9" i="16" a="1"/>
  <c r="E28" i="16" a="1"/>
  <c r="E12" i="16" a="1"/>
  <c r="E55" i="16" a="1"/>
  <c r="E18" i="16" a="1"/>
  <c r="E33" i="16" a="1"/>
  <c r="E17" i="16" a="1"/>
  <c r="E8" i="16" a="1"/>
  <c r="E29" i="16" a="1"/>
  <c r="E13" i="16" a="1"/>
  <c r="E53" i="16" a="1"/>
  <c r="E49" i="16" a="1"/>
  <c r="E45" i="16" a="1"/>
  <c r="E41" i="16" a="1"/>
  <c r="E25" i="16" a="1"/>
  <c r="E5" i="16" a="1"/>
  <c r="E24" i="16" a="1"/>
  <c r="E52" i="15" a="1"/>
  <c r="E48" i="15" a="1"/>
  <c r="E40" i="15" a="1"/>
  <c r="E36" i="15" a="1"/>
  <c r="E28" i="15" a="1"/>
  <c r="E20" i="15" a="1"/>
  <c r="E12" i="15" a="1"/>
  <c r="E4" i="15" a="1"/>
  <c r="E47" i="15" a="1"/>
  <c r="E35" i="15" a="1"/>
  <c r="E23" i="15" a="1"/>
  <c r="E11" i="15" a="1"/>
  <c r="E38" i="15" a="1"/>
  <c r="E22" i="15" a="1"/>
  <c r="E49" i="15" a="1"/>
  <c r="E37" i="15" a="1"/>
  <c r="E21" i="15" a="1"/>
  <c r="E5" i="15" a="1"/>
  <c r="E56" i="15" a="1"/>
  <c r="E44" i="15" a="1"/>
  <c r="E32" i="15" a="1"/>
  <c r="E24" i="15" a="1"/>
  <c r="E16" i="15" a="1"/>
  <c r="E8" i="15" a="1"/>
  <c r="E43" i="15" a="1"/>
  <c r="E27" i="15" a="1"/>
  <c r="E15" i="15" a="1"/>
  <c r="E30" i="15" a="1"/>
  <c r="E18" i="15" a="1"/>
  <c r="E6" i="15" a="1"/>
  <c r="E53" i="15" a="1"/>
  <c r="E33" i="15" a="1"/>
  <c r="E17" i="15" a="1"/>
  <c r="E55" i="15" a="1"/>
  <c r="E51" i="15" a="1"/>
  <c r="E39" i="15" a="1"/>
  <c r="E31" i="15" a="1"/>
  <c r="E19" i="15" a="1"/>
  <c r="E7" i="15" a="1"/>
  <c r="E34" i="15" a="1"/>
  <c r="E14" i="15" a="1"/>
  <c r="E45" i="15" a="1"/>
  <c r="E29" i="15" a="1"/>
  <c r="E13" i="15" a="1"/>
  <c r="E54" i="15" a="1"/>
  <c r="E50" i="15" a="1"/>
  <c r="E46" i="15" a="1"/>
  <c r="E42" i="15" a="1"/>
  <c r="E26" i="15" a="1"/>
  <c r="E10" i="15" a="1"/>
  <c r="E41" i="15" a="1"/>
  <c r="E25" i="15" a="1"/>
  <c r="E9" i="15" a="1"/>
  <c r="E52" i="14" a="1"/>
  <c r="E44" i="14" a="1"/>
  <c r="E36" i="14" a="1"/>
  <c r="E28" i="14" a="1"/>
  <c r="E20" i="14" a="1"/>
  <c r="E12" i="14" a="1"/>
  <c r="E4" i="14" a="1"/>
  <c r="E11" i="14" a="1"/>
  <c r="E50" i="14" a="1"/>
  <c r="E34" i="14" a="1"/>
  <c r="E22" i="14" a="1"/>
  <c r="E10" i="14" a="1"/>
  <c r="E41" i="14" a="1"/>
  <c r="E29" i="14" a="1"/>
  <c r="E13" i="14" a="1"/>
  <c r="E56" i="14" a="1"/>
  <c r="E48" i="14" a="1"/>
  <c r="E40" i="14" a="1"/>
  <c r="E32" i="14" a="1"/>
  <c r="E24" i="14" a="1"/>
  <c r="E16" i="14" a="1"/>
  <c r="E8" i="14" a="1"/>
  <c r="E46" i="14" a="1"/>
  <c r="E30" i="14" a="1"/>
  <c r="E18" i="14" a="1"/>
  <c r="E53" i="14" a="1"/>
  <c r="E37" i="14" a="1"/>
  <c r="E21" i="14" a="1"/>
  <c r="E9" i="14" a="1"/>
  <c r="E55" i="14" a="1"/>
  <c r="E51" i="14" a="1"/>
  <c r="E47" i="14" a="1"/>
  <c r="E43" i="14" a="1"/>
  <c r="E39" i="14" a="1"/>
  <c r="E35" i="14" a="1"/>
  <c r="E31" i="14" a="1"/>
  <c r="E27" i="14" a="1"/>
  <c r="E23" i="14" a="1"/>
  <c r="E19" i="14" a="1"/>
  <c r="E15" i="14" a="1"/>
  <c r="E7" i="14" a="1"/>
  <c r="E42" i="14" a="1"/>
  <c r="E26" i="14" a="1"/>
  <c r="E6" i="14" a="1"/>
  <c r="E49" i="14" a="1"/>
  <c r="E33" i="14" a="1"/>
  <c r="E17" i="14" a="1"/>
  <c r="E54" i="14" a="1"/>
  <c r="E38" i="14" a="1"/>
  <c r="E14" i="14" a="1"/>
  <c r="E45" i="14" a="1"/>
  <c r="E25" i="14" a="1"/>
  <c r="E5" i="14" a="1"/>
  <c r="E52" i="13" a="1"/>
  <c r="E44" i="13" a="1"/>
  <c r="E36" i="13" a="1"/>
  <c r="E28" i="13" a="1"/>
  <c r="E24" i="13" a="1"/>
  <c r="E16" i="13" a="1"/>
  <c r="E8" i="13" a="1"/>
  <c r="E51" i="13" a="1"/>
  <c r="E39" i="13" a="1"/>
  <c r="E35" i="13" a="1"/>
  <c r="E23" i="13" a="1"/>
  <c r="E11" i="13" a="1"/>
  <c r="E46" i="13" a="1"/>
  <c r="E34" i="13" a="1"/>
  <c r="E26" i="13" a="1"/>
  <c r="E14" i="13" a="1"/>
  <c r="E45" i="13" a="1"/>
  <c r="E33" i="13" a="1"/>
  <c r="E21" i="13" a="1"/>
  <c r="E9" i="13" a="1"/>
  <c r="E56" i="13" a="1"/>
  <c r="E48" i="13" a="1"/>
  <c r="E40" i="13" a="1"/>
  <c r="E32" i="13" a="1"/>
  <c r="E20" i="13" a="1"/>
  <c r="E12" i="13" a="1"/>
  <c r="E4" i="13" a="1"/>
  <c r="E47" i="13" a="1"/>
  <c r="E31" i="13" a="1"/>
  <c r="E19" i="13" a="1"/>
  <c r="E7" i="13" a="1"/>
  <c r="E54" i="13" a="1"/>
  <c r="E42" i="13" a="1"/>
  <c r="E30" i="13" a="1"/>
  <c r="E18" i="13" a="1"/>
  <c r="E6" i="13" a="1"/>
  <c r="E49" i="13" a="1"/>
  <c r="E37" i="13" a="1"/>
  <c r="E25" i="13" a="1"/>
  <c r="E13" i="13" a="1"/>
  <c r="E55" i="13" a="1"/>
  <c r="E43" i="13" a="1"/>
  <c r="E27" i="13" a="1"/>
  <c r="E15" i="13" a="1"/>
  <c r="E50" i="13" a="1"/>
  <c r="E38" i="13" a="1"/>
  <c r="E22" i="13" a="1"/>
  <c r="E10" i="13" a="1"/>
  <c r="E41" i="13" a="1"/>
  <c r="E29" i="13" a="1"/>
  <c r="E17" i="13" a="1"/>
  <c r="E5" i="13" a="1"/>
  <c r="E53" i="13" a="1"/>
  <c r="E5" i="12" a="1"/>
  <c r="E9" i="12" a="1"/>
  <c r="E13" i="12" a="1"/>
  <c r="E17" i="12" a="1"/>
  <c r="E21" i="12" a="1"/>
  <c r="E25" i="12" a="1"/>
  <c r="E29" i="12" a="1"/>
  <c r="E33" i="12" a="1"/>
  <c r="E37" i="12" a="1"/>
  <c r="E41" i="12" a="1"/>
  <c r="E45" i="12" a="1"/>
  <c r="E49" i="12" a="1"/>
  <c r="E53" i="12" a="1"/>
  <c r="E23" i="12" a="1"/>
  <c r="E35" i="12" a="1"/>
  <c r="E47" i="12" a="1"/>
  <c r="E56" i="12" a="1"/>
  <c r="E10" i="12" a="1"/>
  <c r="E30" i="12" a="1"/>
  <c r="E42" i="12" a="1"/>
  <c r="E50" i="12" a="1"/>
  <c r="E15" i="12" a="1"/>
  <c r="E27" i="12" a="1"/>
  <c r="E39" i="12" a="1"/>
  <c r="E51" i="12" a="1"/>
  <c r="E52" i="12" a="1"/>
  <c r="E6" i="12" a="1"/>
  <c r="E14" i="12" a="1"/>
  <c r="E18" i="12" a="1"/>
  <c r="E22" i="12" a="1"/>
  <c r="E26" i="12" a="1"/>
  <c r="E34" i="12" a="1"/>
  <c r="E38" i="12" a="1"/>
  <c r="E46" i="12" a="1"/>
  <c r="E54" i="12" a="1"/>
  <c r="E19" i="12" a="1"/>
  <c r="E31" i="12" a="1"/>
  <c r="E43" i="12" a="1"/>
  <c r="E55" i="12" a="1"/>
  <c r="E48" i="12" a="1"/>
  <c r="E11" i="12" a="1"/>
  <c r="E40" i="12" a="1"/>
  <c r="E7" i="12" a="1"/>
  <c r="E44" i="12" a="1"/>
  <c r="E8" i="12" a="1"/>
  <c r="E12" i="12" a="1"/>
  <c r="E16" i="12" a="1"/>
  <c r="E20" i="12" a="1"/>
  <c r="E24" i="12" a="1"/>
  <c r="E28" i="12" a="1"/>
  <c r="E32" i="12" a="1"/>
  <c r="E36" i="12" a="1"/>
  <c r="E4" i="12" a="1"/>
  <c r="E4" i="16" l="1"/>
  <c r="E24" i="16"/>
  <c r="E5" i="16"/>
  <c r="E25" i="16"/>
  <c r="E41" i="16"/>
  <c r="E45" i="16"/>
  <c r="E49" i="16"/>
  <c r="E53" i="16"/>
  <c r="E13" i="16"/>
  <c r="E29" i="16"/>
  <c r="E8" i="16"/>
  <c r="E17" i="16"/>
  <c r="E33" i="16"/>
  <c r="E18" i="16"/>
  <c r="E55" i="16"/>
  <c r="E12" i="16"/>
  <c r="E28" i="16"/>
  <c r="E9" i="16"/>
  <c r="E21" i="16"/>
  <c r="E37" i="16"/>
  <c r="E6" i="16"/>
  <c r="E10" i="16"/>
  <c r="E14" i="16"/>
  <c r="E22" i="16"/>
  <c r="E26" i="16"/>
  <c r="E30" i="16"/>
  <c r="E34" i="16"/>
  <c r="E38" i="16"/>
  <c r="E42" i="16"/>
  <c r="E46" i="16"/>
  <c r="E50" i="16"/>
  <c r="E54" i="16"/>
  <c r="E7" i="16"/>
  <c r="E11" i="16"/>
  <c r="E15" i="16"/>
  <c r="E19" i="16"/>
  <c r="E23" i="16"/>
  <c r="E27" i="16"/>
  <c r="E31" i="16"/>
  <c r="E35" i="16"/>
  <c r="E39" i="16"/>
  <c r="E43" i="16"/>
  <c r="E47" i="16"/>
  <c r="E51" i="16"/>
  <c r="E20" i="16"/>
  <c r="E32" i="16"/>
  <c r="E36" i="16"/>
  <c r="E44" i="16"/>
  <c r="E48" i="16"/>
  <c r="E52" i="16"/>
  <c r="E16" i="16"/>
  <c r="E40" i="16"/>
  <c r="E56" i="16"/>
  <c r="E9" i="15"/>
  <c r="E25" i="15"/>
  <c r="E41" i="15"/>
  <c r="E10" i="15"/>
  <c r="E26" i="15"/>
  <c r="E42" i="15"/>
  <c r="E46" i="15"/>
  <c r="E50" i="15"/>
  <c r="E54" i="15"/>
  <c r="E13" i="15"/>
  <c r="E29" i="15"/>
  <c r="E45" i="15"/>
  <c r="E14" i="15"/>
  <c r="E34" i="15"/>
  <c r="E7" i="15"/>
  <c r="E19" i="15"/>
  <c r="E31" i="15"/>
  <c r="E39" i="15"/>
  <c r="E51" i="15"/>
  <c r="E55" i="15"/>
  <c r="E17" i="15"/>
  <c r="E33" i="15"/>
  <c r="E53" i="15"/>
  <c r="E6" i="15"/>
  <c r="E18" i="15"/>
  <c r="E30" i="15"/>
  <c r="E15" i="15"/>
  <c r="E27" i="15"/>
  <c r="E43" i="15"/>
  <c r="E8" i="15"/>
  <c r="E16" i="15"/>
  <c r="E24" i="15"/>
  <c r="E32" i="15"/>
  <c r="E44" i="15"/>
  <c r="E56" i="15"/>
  <c r="E5" i="15"/>
  <c r="E21" i="15"/>
  <c r="E37" i="15"/>
  <c r="E49" i="15"/>
  <c r="E22" i="15"/>
  <c r="E38" i="15"/>
  <c r="E11" i="15"/>
  <c r="E23" i="15"/>
  <c r="E35" i="15"/>
  <c r="E47" i="15"/>
  <c r="E4" i="15"/>
  <c r="E12" i="15"/>
  <c r="E20" i="15"/>
  <c r="E28" i="15"/>
  <c r="E36" i="15"/>
  <c r="E40" i="15"/>
  <c r="E48" i="15"/>
  <c r="E52" i="15"/>
  <c r="E5" i="14"/>
  <c r="E25" i="14"/>
  <c r="E45" i="14"/>
  <c r="E14" i="14"/>
  <c r="E38" i="14"/>
  <c r="E54" i="14"/>
  <c r="E17" i="14"/>
  <c r="E33" i="14"/>
  <c r="E49" i="14"/>
  <c r="E6" i="14"/>
  <c r="E26" i="14"/>
  <c r="E42" i="14"/>
  <c r="E7" i="14"/>
  <c r="E15" i="14"/>
  <c r="E19" i="14"/>
  <c r="E23" i="14"/>
  <c r="E27" i="14"/>
  <c r="E31" i="14"/>
  <c r="E35" i="14"/>
  <c r="E39" i="14"/>
  <c r="E43" i="14"/>
  <c r="E47" i="14"/>
  <c r="E51" i="14"/>
  <c r="E55" i="14"/>
  <c r="E9" i="14"/>
  <c r="E21" i="14"/>
  <c r="E37" i="14"/>
  <c r="E53" i="14"/>
  <c r="E18" i="14"/>
  <c r="E30" i="14"/>
  <c r="E46" i="14"/>
  <c r="E8" i="14"/>
  <c r="E16" i="14"/>
  <c r="E24" i="14"/>
  <c r="E32" i="14"/>
  <c r="E40" i="14"/>
  <c r="E48" i="14"/>
  <c r="E56" i="14"/>
  <c r="E13" i="14"/>
  <c r="E29" i="14"/>
  <c r="E41" i="14"/>
  <c r="E10" i="14"/>
  <c r="E22" i="14"/>
  <c r="E34" i="14"/>
  <c r="E50" i="14"/>
  <c r="E11" i="14"/>
  <c r="E4" i="14"/>
  <c r="E12" i="14"/>
  <c r="E20" i="14"/>
  <c r="E28" i="14"/>
  <c r="E36" i="14"/>
  <c r="E44" i="14"/>
  <c r="E52" i="14"/>
  <c r="E53" i="13"/>
  <c r="E5" i="13"/>
  <c r="E17" i="13"/>
  <c r="E29" i="13"/>
  <c r="E41" i="13"/>
  <c r="E10" i="13"/>
  <c r="E22" i="13"/>
  <c r="E38" i="13"/>
  <c r="E50" i="13"/>
  <c r="E15" i="13"/>
  <c r="E27" i="13"/>
  <c r="E43" i="13"/>
  <c r="E55" i="13"/>
  <c r="E13" i="13"/>
  <c r="E25" i="13"/>
  <c r="E37" i="13"/>
  <c r="E49" i="13"/>
  <c r="E6" i="13"/>
  <c r="E18" i="13"/>
  <c r="E30" i="13"/>
  <c r="E42" i="13"/>
  <c r="E54" i="13"/>
  <c r="E7" i="13"/>
  <c r="E19" i="13"/>
  <c r="E31" i="13"/>
  <c r="E47" i="13"/>
  <c r="E4" i="13"/>
  <c r="E12" i="13"/>
  <c r="E20" i="13"/>
  <c r="E32" i="13"/>
  <c r="E40" i="13"/>
  <c r="E48" i="13"/>
  <c r="E56" i="13"/>
  <c r="E9" i="13"/>
  <c r="E21" i="13"/>
  <c r="E33" i="13"/>
  <c r="E45" i="13"/>
  <c r="E14" i="13"/>
  <c r="E26" i="13"/>
  <c r="E34" i="13"/>
  <c r="E46" i="13"/>
  <c r="E11" i="13"/>
  <c r="E23" i="13"/>
  <c r="E35" i="13"/>
  <c r="E39" i="13"/>
  <c r="E51" i="13"/>
  <c r="E8" i="13"/>
  <c r="E16" i="13"/>
  <c r="E24" i="13"/>
  <c r="E28" i="13"/>
  <c r="E36" i="13"/>
  <c r="E44" i="13"/>
  <c r="E52" i="13"/>
  <c r="E36" i="12"/>
  <c r="E32" i="12"/>
  <c r="E28" i="12"/>
  <c r="E24" i="12"/>
  <c r="E20" i="12"/>
  <c r="E16" i="12"/>
  <c r="E12" i="12"/>
  <c r="E8" i="12"/>
  <c r="E44" i="12"/>
  <c r="E7" i="12"/>
  <c r="E40" i="12"/>
  <c r="E11" i="12"/>
  <c r="E48" i="12"/>
  <c r="E55" i="12"/>
  <c r="E43" i="12"/>
  <c r="E31" i="12"/>
  <c r="E19" i="12"/>
  <c r="E54" i="12"/>
  <c r="E46" i="12"/>
  <c r="E38" i="12"/>
  <c r="E34" i="12"/>
  <c r="E26" i="12"/>
  <c r="E22" i="12"/>
  <c r="E18" i="12"/>
  <c r="E14" i="12"/>
  <c r="E6" i="12"/>
  <c r="E52" i="12"/>
  <c r="E51" i="12"/>
  <c r="E39" i="12"/>
  <c r="E27" i="12"/>
  <c r="E15" i="12"/>
  <c r="E50" i="12"/>
  <c r="E42" i="12"/>
  <c r="E30" i="12"/>
  <c r="E10" i="12"/>
  <c r="E56" i="12"/>
  <c r="E47" i="12"/>
  <c r="E35" i="12"/>
  <c r="E23" i="12"/>
  <c r="E53" i="12"/>
  <c r="E49" i="12"/>
  <c r="E45" i="12"/>
  <c r="E41" i="12"/>
  <c r="E37" i="12"/>
  <c r="E33" i="12"/>
  <c r="E29" i="12"/>
  <c r="E25" i="12"/>
  <c r="E21" i="12"/>
  <c r="E17" i="12"/>
  <c r="E13" i="12"/>
  <c r="E9" i="12"/>
  <c r="E5" i="12"/>
  <c r="E4" i="12"/>
  <c r="AB37" i="1"/>
  <c r="AB33" i="1"/>
  <c r="AB32" i="1"/>
  <c r="AB31" i="1"/>
  <c r="AB12" i="1"/>
  <c r="AB10" i="1"/>
  <c r="AB8" i="1"/>
  <c r="AB7" i="1"/>
  <c r="AB6" i="1"/>
  <c r="AB4" i="1"/>
  <c r="AB3" i="1"/>
  <c r="AB5" i="1"/>
  <c r="AB9" i="1"/>
  <c r="AB11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4" i="1"/>
  <c r="AB35" i="1"/>
  <c r="AB36" i="1"/>
  <c r="AB38" i="1"/>
  <c r="AB39" i="1"/>
  <c r="AB40" i="1"/>
  <c r="AB41" i="1"/>
  <c r="AB42" i="1"/>
  <c r="AB43" i="1"/>
  <c r="AB44" i="1"/>
  <c r="AB45" i="1"/>
  <c r="AB46" i="1"/>
  <c r="A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<sst xmlns="http://schemas.openxmlformats.org/spreadsheetml/2006/main" count="7255" uniqueCount="282">
  <si>
    <t>assetID</t>
  </si>
  <si>
    <t>HostType</t>
  </si>
  <si>
    <t>HostName</t>
  </si>
  <si>
    <t>Longitude</t>
  </si>
  <si>
    <t>Latitude</t>
  </si>
  <si>
    <t>HostCategory</t>
  </si>
  <si>
    <t>Street</t>
  </si>
  <si>
    <t>StreetNo</t>
  </si>
  <si>
    <t>ZIP</t>
  </si>
  <si>
    <t>City</t>
  </si>
  <si>
    <t>Country</t>
  </si>
  <si>
    <t>RoomType</t>
  </si>
  <si>
    <t>RoomCategory</t>
  </si>
  <si>
    <t>RoomTypeAvailability</t>
  </si>
  <si>
    <t>FromDateTime</t>
  </si>
  <si>
    <t>ToDateTime</t>
  </si>
  <si>
    <t>RoomTypePriceHour</t>
  </si>
  <si>
    <t>BedAvailability</t>
  </si>
  <si>
    <t>BedPrice</t>
  </si>
  <si>
    <t>BathAvailability</t>
  </si>
  <si>
    <t>BathrromPrice</t>
  </si>
  <si>
    <t>ParkingAvailability</t>
  </si>
  <si>
    <t>ParkingPriceHour</t>
  </si>
  <si>
    <t>Gym</t>
  </si>
  <si>
    <t>GymPrice</t>
  </si>
  <si>
    <t>Spa</t>
  </si>
  <si>
    <t>SpaPrice</t>
  </si>
  <si>
    <t>Hotel</t>
  </si>
  <si>
    <t>Hotel Altstadt</t>
  </si>
  <si>
    <t>8.54411</t>
  </si>
  <si>
    <t>47.36936</t>
  </si>
  <si>
    <t>3*</t>
  </si>
  <si>
    <t>Kirchgasse</t>
  </si>
  <si>
    <t>Zürich</t>
  </si>
  <si>
    <t>Switzerland</t>
  </si>
  <si>
    <t>SingleStandard</t>
  </si>
  <si>
    <t>true</t>
  </si>
  <si>
    <t>false</t>
  </si>
  <si>
    <t>Hotel Old Town</t>
  </si>
  <si>
    <t>8.54368</t>
  </si>
  <si>
    <t>47.37362</t>
  </si>
  <si>
    <t>Niederdorfstrasse</t>
  </si>
  <si>
    <t>Hotel Plattenhof</t>
  </si>
  <si>
    <t>8.55302</t>
  </si>
  <si>
    <t>47.3743</t>
  </si>
  <si>
    <t>Plattenstrasse</t>
  </si>
  <si>
    <t>Hotel Sorell Rüti</t>
  </si>
  <si>
    <t>8.54449</t>
  </si>
  <si>
    <t>47.37616</t>
  </si>
  <si>
    <t>Zähringerstrasse</t>
  </si>
  <si>
    <t>Hotel Alexander</t>
  </si>
  <si>
    <t>8.5439</t>
  </si>
  <si>
    <t>47.37456</t>
  </si>
  <si>
    <t>DoubleStandard</t>
  </si>
  <si>
    <t>Hotel Florhof</t>
  </si>
  <si>
    <t>8.54795</t>
  </si>
  <si>
    <t>47.37248</t>
  </si>
  <si>
    <t>Florhofgasse</t>
  </si>
  <si>
    <t>Hotel Kindli</t>
  </si>
  <si>
    <t>8.54069</t>
  </si>
  <si>
    <t>47.37244</t>
  </si>
  <si>
    <t>Pfalzgasse</t>
  </si>
  <si>
    <t>Hotel Royal Zürich</t>
  </si>
  <si>
    <t>8.54502</t>
  </si>
  <si>
    <t>47.37898</t>
  </si>
  <si>
    <t>Leonhardstrasse</t>
  </si>
  <si>
    <t>Hotel Adler</t>
  </si>
  <si>
    <t>8.54366</t>
  </si>
  <si>
    <t>47.37319</t>
  </si>
  <si>
    <t>Rosengasse</t>
  </si>
  <si>
    <t>Hotel Felix Zürich</t>
  </si>
  <si>
    <t>8.54454</t>
  </si>
  <si>
    <t>47.37523</t>
  </si>
  <si>
    <t>Hotel Leoneck Swiss Hotel</t>
  </si>
  <si>
    <t>8.54514</t>
  </si>
  <si>
    <t>47.37918</t>
  </si>
  <si>
    <t>Hotel Platzhirsch</t>
  </si>
  <si>
    <t>8.544</t>
  </si>
  <si>
    <t>47.37352</t>
  </si>
  <si>
    <t>Spitalgasse</t>
  </si>
  <si>
    <t>Hotel Rösli</t>
  </si>
  <si>
    <t>8.54443</t>
  </si>
  <si>
    <t>47.36924</t>
  </si>
  <si>
    <t>Rösligasse</t>
  </si>
  <si>
    <t>Hotel Scheuble</t>
  </si>
  <si>
    <t>8.54488</t>
  </si>
  <si>
    <t>47.37444</t>
  </si>
  <si>
    <t>Mühlegasse</t>
  </si>
  <si>
    <t>Hotel Townhouse</t>
  </si>
  <si>
    <t>8.54007</t>
  </si>
  <si>
    <t>47.37631</t>
  </si>
  <si>
    <t>Schützengasse</t>
  </si>
  <si>
    <t>Hotel Walhalla Zürich</t>
  </si>
  <si>
    <t>8.53721</t>
  </si>
  <si>
    <t>47.38028</t>
  </si>
  <si>
    <t>Limmatstrasse</t>
  </si>
  <si>
    <t>Hotel Zürcherhof Beste Western Plus</t>
  </si>
  <si>
    <t>8.54433</t>
  </si>
  <si>
    <t>47.37568</t>
  </si>
  <si>
    <t>Hotel California</t>
  </si>
  <si>
    <t>8.5446</t>
  </si>
  <si>
    <t>47.36872</t>
  </si>
  <si>
    <t>Schifflände</t>
  </si>
  <si>
    <t>DoubleBusiness</t>
  </si>
  <si>
    <t xml:space="preserve">Hotel Garni Bristol </t>
  </si>
  <si>
    <t>8.54349</t>
  </si>
  <si>
    <t>47.37967</t>
  </si>
  <si>
    <t>Stampfenbachstrasse</t>
  </si>
  <si>
    <t>Hotel Hirschen</t>
  </si>
  <si>
    <t>8.54367</t>
  </si>
  <si>
    <t>47.3734</t>
  </si>
  <si>
    <t>Hotel St. Josef</t>
  </si>
  <si>
    <t>8.5458</t>
  </si>
  <si>
    <t>47.37534</t>
  </si>
  <si>
    <t>Hirschengraben</t>
  </si>
  <si>
    <t>Hotel Savoy Baur en Ville</t>
  </si>
  <si>
    <t>8.53961</t>
  </si>
  <si>
    <t>47.36997</t>
  </si>
  <si>
    <t>5*</t>
  </si>
  <si>
    <t>Poststrasse</t>
  </si>
  <si>
    <t>8</t>
  </si>
  <si>
    <t>Hotel Schweizerhof</t>
  </si>
  <si>
    <t>8.53945</t>
  </si>
  <si>
    <t>47.37697</t>
  </si>
  <si>
    <t>4*</t>
  </si>
  <si>
    <t>Bahnhofplatz</t>
  </si>
  <si>
    <t>Hotel Sorell St. Peter</t>
  </si>
  <si>
    <t>8.54066</t>
  </si>
  <si>
    <t>47.3708</t>
  </si>
  <si>
    <t>In Gassen</t>
  </si>
  <si>
    <t>Hotel Central Plaza</t>
  </si>
  <si>
    <t>8.5436</t>
  </si>
  <si>
    <t>47.37703</t>
  </si>
  <si>
    <t>Central</t>
  </si>
  <si>
    <t>Hotel EMA House Suites</t>
  </si>
  <si>
    <t>Nordstrasse</t>
  </si>
  <si>
    <t>Hotel Storchen</t>
  </si>
  <si>
    <t>8.54169</t>
  </si>
  <si>
    <t>47.3718</t>
  </si>
  <si>
    <t>Weinplatz</t>
  </si>
  <si>
    <t>Hotel Glockenhof Zürich</t>
  </si>
  <si>
    <t>8.53685</t>
  </si>
  <si>
    <t>Sihlstrasse</t>
  </si>
  <si>
    <t>DoubleSuperior</t>
  </si>
  <si>
    <t>Hotel Wellenberg</t>
  </si>
  <si>
    <t>8.54393</t>
  </si>
  <si>
    <t>47.37306</t>
  </si>
  <si>
    <t>Hotel Helmhaus</t>
  </si>
  <si>
    <t>8.54406</t>
  </si>
  <si>
    <t>47.36914</t>
  </si>
  <si>
    <t>Hotel St. Gothard</t>
  </si>
  <si>
    <t>8.53939</t>
  </si>
  <si>
    <t>47.37641</t>
  </si>
  <si>
    <t>Bahnhofstrasse</t>
  </si>
  <si>
    <t>Hotel Widder</t>
  </si>
  <si>
    <t>8.53986</t>
  </si>
  <si>
    <t>47.37253</t>
  </si>
  <si>
    <t>Rennweg</t>
  </si>
  <si>
    <t>Hotel Marktgasse</t>
  </si>
  <si>
    <t>47.37201</t>
  </si>
  <si>
    <t>Marktgasse</t>
  </si>
  <si>
    <t>JuniorSuite</t>
  </si>
  <si>
    <t>Hotel Marriott Zürich</t>
  </si>
  <si>
    <t>47.38254</t>
  </si>
  <si>
    <t>Neumühlequai</t>
  </si>
  <si>
    <t>Availability</t>
  </si>
  <si>
    <t>RoomCategroy</t>
  </si>
  <si>
    <t>"Hotel"</t>
  </si>
  <si>
    <t>"Available"</t>
  </si>
  <si>
    <t>"Single"</t>
  </si>
  <si>
    <t>"SingleStandard"</t>
  </si>
  <si>
    <t>"OfficeSpace"</t>
  </si>
  <si>
    <t>"NotAvailable"</t>
  </si>
  <si>
    <t>"Double"</t>
  </si>
  <si>
    <t>"SingelBusiness"</t>
  </si>
  <si>
    <t>"Parking"</t>
  </si>
  <si>
    <t>"Business"</t>
  </si>
  <si>
    <t>"DoubleStandard"</t>
  </si>
  <si>
    <t>"Service"</t>
  </si>
  <si>
    <t>"JuniorSuite"</t>
  </si>
  <si>
    <t>"DoubleSuperior"</t>
  </si>
  <si>
    <t>"Suite"</t>
  </si>
  <si>
    <t>"DoubleBusiness"</t>
  </si>
  <si>
    <t>2021-06-10 13:00:00.000000</t>
  </si>
  <si>
    <t>2021-06-10 13:30:00.000000</t>
  </si>
  <si>
    <t>2021-06-10 14:00:00.000000</t>
  </si>
  <si>
    <t>2021-06-10 14:45:00.000000</t>
  </si>
  <si>
    <t>2021-06-10 15:00:00.000000</t>
  </si>
  <si>
    <t>2021-06-10 16:00:00.000000</t>
  </si>
  <si>
    <t>2021-06-11 12:00:00.000000</t>
  </si>
  <si>
    <t>2021-08-19 15:00:00.000000</t>
  </si>
  <si>
    <t>100001.1</t>
  </si>
  <si>
    <t>100001.2</t>
  </si>
  <si>
    <t>100001.3</t>
  </si>
  <si>
    <t>100002.1</t>
  </si>
  <si>
    <t>100003.1</t>
  </si>
  <si>
    <t>100004.1</t>
  </si>
  <si>
    <t>100002.2</t>
  </si>
  <si>
    <t>100002.3</t>
  </si>
  <si>
    <t>100002.4</t>
  </si>
  <si>
    <t>100003.2</t>
  </si>
  <si>
    <t>100004.2</t>
  </si>
  <si>
    <t>Einstein St.Gallen</t>
  </si>
  <si>
    <t>200001</t>
  </si>
  <si>
    <t>Berneggstrasse</t>
  </si>
  <si>
    <t>St. Gallen</t>
  </si>
  <si>
    <t>INSERT INTO assetList VALUES (,100034,Hotel,Hotel Marriott Zürich,8.54066,47.38254,5*,Neumühlequai,42,8006,Zurich,Switzerland,JuniorSuite,2021-06-10 16:00:00.000000,2021-08-19 15:00:00.000000,40,true,15,true,15,true,8,true,10,true,10,)</t>
  </si>
  <si>
    <t>Radisson Blu</t>
  </si>
  <si>
    <t>200002</t>
  </si>
  <si>
    <t>St. Jakob-Strasse</t>
  </si>
  <si>
    <t>55</t>
  </si>
  <si>
    <t>47.4282455</t>
  </si>
  <si>
    <t>9.3773144</t>
  </si>
  <si>
    <t>200003</t>
  </si>
  <si>
    <t>9.3751204</t>
  </si>
  <si>
    <t>Webergasse</t>
  </si>
  <si>
    <t>22</t>
  </si>
  <si>
    <t>Grand Hotel Les Trois Rois</t>
  </si>
  <si>
    <t>300001</t>
  </si>
  <si>
    <t>47.5546032</t>
  </si>
  <si>
    <t>7.5774017</t>
  </si>
  <si>
    <t>Basel</t>
  </si>
  <si>
    <t xml:space="preserve">Blumenrain </t>
  </si>
  <si>
    <t xml:space="preserve">4001 </t>
  </si>
  <si>
    <t>ART HOUSE Basel</t>
  </si>
  <si>
    <t>Steinenvorstadt</t>
  </si>
  <si>
    <t>42</t>
  </si>
  <si>
    <t>BELLEVUE PALACE</t>
  </si>
  <si>
    <t>400001</t>
  </si>
  <si>
    <t>Bern</t>
  </si>
  <si>
    <t>Kochergasse</t>
  </si>
  <si>
    <t>3</t>
  </si>
  <si>
    <t>3001</t>
  </si>
  <si>
    <t xml:space="preserve">
</t>
  </si>
  <si>
    <t>Swissôtel Kursaal</t>
  </si>
  <si>
    <t>Kornhausstrasse</t>
  </si>
  <si>
    <t>400002</t>
  </si>
  <si>
    <t>300002</t>
  </si>
  <si>
    <t>Boutique Hotel Belle Epoque</t>
  </si>
  <si>
    <t>46.9475402</t>
  </si>
  <si>
    <t>7.4454412</t>
  </si>
  <si>
    <t>Gerechtigkeitsgasse</t>
  </si>
  <si>
    <t>18</t>
  </si>
  <si>
    <t>100005</t>
  </si>
  <si>
    <t>100022.1</t>
  </si>
  <si>
    <t>100022.2</t>
  </si>
  <si>
    <t>100022.3</t>
  </si>
  <si>
    <t>100022.4</t>
  </si>
  <si>
    <t>100026.1</t>
  </si>
  <si>
    <t>100026.2</t>
  </si>
  <si>
    <t xml:space="preserve">Hotel Dom </t>
  </si>
  <si>
    <t>UserID</t>
  </si>
  <si>
    <t>A001</t>
  </si>
  <si>
    <t>A002</t>
  </si>
  <si>
    <t>A003</t>
  </si>
  <si>
    <t>A004</t>
  </si>
  <si>
    <t>A005</t>
  </si>
  <si>
    <t>UserName</t>
  </si>
  <si>
    <t>UserA</t>
  </si>
  <si>
    <t>UserB</t>
  </si>
  <si>
    <t>UserC</t>
  </si>
  <si>
    <t>UserD</t>
  </si>
  <si>
    <t>UserE</t>
  </si>
  <si>
    <t>Location</t>
  </si>
  <si>
    <t>Zürich HB</t>
  </si>
  <si>
    <t>Expected Results</t>
  </si>
  <si>
    <t>2021-06-10 20:00:00.000000</t>
  </si>
  <si>
    <t>Opernhaus Zürich</t>
  </si>
  <si>
    <t>2021-06-10 11:00:00.000000</t>
  </si>
  <si>
    <t>2021-06-10 19:00:00.000000</t>
  </si>
  <si>
    <t>2021-06-10 22:00:00.000000</t>
  </si>
  <si>
    <t>RoomPriceHour</t>
  </si>
  <si>
    <t>2021-06-11 14:00:00.000000</t>
  </si>
  <si>
    <t>2021-06-12 17:00:00.000000</t>
  </si>
  <si>
    <t>2021-06-11 18:00:00.000000</t>
  </si>
  <si>
    <t>Distance</t>
  </si>
  <si>
    <t>"=getDistance($C$2,$D$2,C4,D4)"</t>
  </si>
  <si>
    <t>Paradeplatz</t>
  </si>
  <si>
    <t>University</t>
  </si>
  <si>
    <t>Solothurn</t>
  </si>
  <si>
    <t>Filter 1 (Distance)</t>
  </si>
  <si>
    <t>2021-06-11 22:00:00.000000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</si>
</sst>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0" fillId="0" borderId="0" xfId="0" applyAlignment="1">
      <alignment wrapText="1"/>
    </xf>
    <xf numFmtId="49" fontId="0" fillId="0" borderId="0" xfId="0" applyNumberFormat="1"/>
    <xf numFmtId="1" fontId="0" fillId="0" borderId="0" xfId="0" applyNumberFormat="1"/>
    <xf numFmtId="0" fontId="0" fillId="0" borderId="0" xfId="0" applyNumberFormat="1"/>
    <xf numFmtId="1" fontId="3" fillId="0" borderId="0" xfId="0" applyNumberFormat="1" applyFont="1"/>
    <xf numFmtId="49" fontId="3" fillId="0" borderId="0" xfId="0" applyNumberFormat="1" applyFont="1"/>
    <xf numFmtId="0" fontId="3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NumberFormat="1" applyFont="1" applyFill="1"/>
    <xf numFmtId="0" fontId="0" fillId="0" borderId="0" xfId="0" applyNumberFormat="1" applyAlignment="1">
      <alignment wrapText="1"/>
    </xf>
    <xf numFmtId="49" fontId="0" fillId="3" borderId="0" xfId="0" applyNumberForma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59D8-906A-430A-A534-CEAA98F53C5E}">
  <sheetPr codeName="Sheet1"/>
  <dimension ref="A1:AG55"/>
  <sheetViews>
    <sheetView zoomScale="125" zoomScaleNormal="125" workbookViewId="0">
      <pane xSplit="3" ySplit="1" topLeftCell="D8" activePane="bottomRight" state="frozen"/>
      <selection pane="topRight" activeCell="B1" sqref="B1"/>
      <selection pane="bottomLeft" activeCell="A2" sqref="A2"/>
      <selection pane="bottomRight" activeCell="A2" sqref="A2:XFD54"/>
    </sheetView>
  </sheetViews>
  <sheetFormatPr baseColWidth="10" defaultColWidth="11.5" defaultRowHeight="17" customHeight="1" x14ac:dyDescent="0.2"/>
  <cols>
    <col min="1" max="1" width="8.6640625" bestFit="1" customWidth="1"/>
    <col min="2" max="2" width="8.5" bestFit="1" customWidth="1"/>
    <col min="3" max="3" width="29.5" bestFit="1" customWidth="1"/>
    <col min="4" max="4" width="10.6640625" bestFit="1" customWidth="1"/>
    <col min="5" max="5" width="9.6640625" bestFit="1" customWidth="1"/>
    <col min="6" max="6" width="11.83203125" bestFit="1" customWidth="1"/>
    <col min="7" max="7" width="17.1640625" bestFit="1" customWidth="1"/>
    <col min="8" max="8" width="8.1640625" bestFit="1" customWidth="1"/>
    <col min="9" max="9" width="5.1640625" bestFit="1" customWidth="1"/>
    <col min="10" max="10" width="6" bestFit="1" customWidth="1"/>
    <col min="11" max="11" width="10" bestFit="1" customWidth="1"/>
    <col min="12" max="12" width="9.5" bestFit="1" customWidth="1"/>
    <col min="13" max="13" width="13.5" bestFit="1" customWidth="1"/>
    <col min="14" max="14" width="18.1640625" bestFit="1" customWidth="1"/>
    <col min="15" max="16" width="24.33203125" bestFit="1" customWidth="1"/>
    <col min="17" max="17" width="17.33203125" style="4" bestFit="1" customWidth="1"/>
    <col min="18" max="18" width="12.83203125" bestFit="1" customWidth="1"/>
    <col min="19" max="19" width="8.1640625" style="4" bestFit="1" customWidth="1"/>
    <col min="20" max="20" width="13.33203125" bestFit="1" customWidth="1"/>
    <col min="21" max="21" width="12.5" style="4" bestFit="1" customWidth="1"/>
    <col min="22" max="22" width="15.5" bestFit="1" customWidth="1"/>
    <col min="23" max="23" width="14.6640625" style="4" bestFit="1" customWidth="1"/>
    <col min="24" max="24" width="4.6640625" bestFit="1" customWidth="1"/>
    <col min="25" max="25" width="8.6640625" style="4" bestFit="1" customWidth="1"/>
    <col min="26" max="26" width="4.5" bestFit="1" customWidth="1"/>
    <col min="27" max="27" width="7.83203125" style="4" bestFit="1" customWidth="1"/>
    <col min="28" max="28" width="211" bestFit="1" customWidth="1"/>
  </cols>
  <sheetData>
    <row r="1" spans="1:32" ht="17" customHeight="1" x14ac:dyDescent="0.2">
      <c r="A1" s="1" t="s">
        <v>0</v>
      </c>
      <c r="B1" s="1" t="s">
        <v>1</v>
      </c>
      <c r="C1" s="1" t="s">
        <v>2</v>
      </c>
      <c r="D1" s="1" t="s">
        <v>4</v>
      </c>
      <c r="E1" s="1" t="s">
        <v>3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</row>
    <row r="2" spans="1:32" ht="17" customHeight="1" x14ac:dyDescent="0.2">
      <c r="A2" s="3" t="s">
        <v>191</v>
      </c>
      <c r="B2" s="3" t="s">
        <v>27</v>
      </c>
      <c r="C2" s="3" t="s">
        <v>28</v>
      </c>
      <c r="D2" s="3" t="s">
        <v>30</v>
      </c>
      <c r="E2" s="3" t="s">
        <v>29</v>
      </c>
      <c r="F2" s="3" t="s">
        <v>31</v>
      </c>
      <c r="G2" s="3" t="s">
        <v>32</v>
      </c>
      <c r="H2" s="3">
        <v>4</v>
      </c>
      <c r="I2" s="3">
        <v>8001</v>
      </c>
      <c r="J2" s="3" t="s">
        <v>33</v>
      </c>
      <c r="K2" s="3" t="s">
        <v>34</v>
      </c>
      <c r="L2" s="3"/>
      <c r="M2" s="3" t="s">
        <v>35</v>
      </c>
      <c r="N2" s="3" t="s">
        <v>36</v>
      </c>
      <c r="O2" s="3" t="s">
        <v>183</v>
      </c>
      <c r="P2" s="3" t="s">
        <v>189</v>
      </c>
      <c r="Q2" s="4">
        <v>20</v>
      </c>
      <c r="R2" s="3" t="s">
        <v>36</v>
      </c>
      <c r="S2" s="4">
        <v>10</v>
      </c>
      <c r="T2" s="3" t="s">
        <v>36</v>
      </c>
      <c r="U2" s="4">
        <v>10</v>
      </c>
      <c r="V2" s="3" t="s">
        <v>36</v>
      </c>
      <c r="W2" s="4">
        <v>5</v>
      </c>
      <c r="X2" s="3" t="s">
        <v>37</v>
      </c>
      <c r="Y2" s="4">
        <v>10</v>
      </c>
      <c r="Z2" s="3" t="s">
        <v>37</v>
      </c>
      <c r="AA2" s="4">
        <v>10</v>
      </c>
      <c r="AB2" t="str">
        <f>_xlfn.TEXTJOIN(",",,"INSERT INTO assetList VALUES (",A2,B2,C2,E2,D2,F2,G2,H2,I2,J2,K2,M2,O2,P2,Q2,R2,S2,T2,U2,V2,W2,X2,Y2,Z2,AA2,")")</f>
        <v>INSERT INTO assetList VALUES (,100001.1,Hotel,Hotel Altstadt,8.54411,47.36936,3*,Kirchgasse,4,8001,Zürich,Switzerland,SingleStandard,2021-06-10 13:00:00.000000,2021-06-11 12:00:00.000000,20,true,10,true,10,true,5,false,10,false,10,)</v>
      </c>
      <c r="AF2" s="2"/>
    </row>
    <row r="3" spans="1:32" ht="17" customHeight="1" x14ac:dyDescent="0.2">
      <c r="A3" s="3" t="s">
        <v>192</v>
      </c>
      <c r="B3" s="3" t="s">
        <v>27</v>
      </c>
      <c r="C3" s="3" t="s">
        <v>28</v>
      </c>
      <c r="D3" s="3" t="s">
        <v>30</v>
      </c>
      <c r="E3" s="3" t="s">
        <v>29</v>
      </c>
      <c r="F3" s="3" t="s">
        <v>31</v>
      </c>
      <c r="G3" s="3" t="s">
        <v>32</v>
      </c>
      <c r="H3" s="3">
        <v>4</v>
      </c>
      <c r="I3" s="3">
        <v>8001</v>
      </c>
      <c r="J3" s="3" t="s">
        <v>33</v>
      </c>
      <c r="K3" s="3" t="s">
        <v>34</v>
      </c>
      <c r="L3" s="3"/>
      <c r="M3" s="3" t="s">
        <v>174</v>
      </c>
      <c r="N3" s="3" t="s">
        <v>36</v>
      </c>
      <c r="O3" s="3" t="s">
        <v>183</v>
      </c>
      <c r="P3" s="3" t="s">
        <v>189</v>
      </c>
      <c r="Q3" s="4">
        <v>25</v>
      </c>
      <c r="R3" s="3" t="s">
        <v>36</v>
      </c>
      <c r="S3" s="4">
        <v>10</v>
      </c>
      <c r="T3" s="3" t="s">
        <v>36</v>
      </c>
      <c r="U3" s="4">
        <v>10</v>
      </c>
      <c r="V3" s="3" t="s">
        <v>36</v>
      </c>
      <c r="W3" s="4">
        <v>5</v>
      </c>
      <c r="X3" s="3" t="s">
        <v>37</v>
      </c>
      <c r="Y3" s="4">
        <v>10</v>
      </c>
      <c r="Z3" s="3" t="s">
        <v>37</v>
      </c>
      <c r="AA3" s="4">
        <v>10</v>
      </c>
      <c r="AB3" t="str">
        <f>_xlfn.TEXTJOIN(",",,"INSERT INTO assetList VALUES (",A3,B3,C3,E3,D3,F3,G3,H3,I3,J3,K3,M3,O3,P3,Q3,R3,S3,T3,U3,V3,W3,X3,Y3,Z3,AA3,")")</f>
        <v>INSERT INTO assetList VALUES (,100001.2,Hotel,Hotel Altstadt,8.54411,47.36936,3*,Kirchgasse,4,8001,Zürich,Switzerland,"SingelBusiness",2021-06-10 13:00:00.000000,2021-06-11 12:00:00.000000,25,true,10,true,10,true,5,false,10,false,10,)</v>
      </c>
      <c r="AF3" s="2"/>
    </row>
    <row r="4" spans="1:32" ht="17" customHeight="1" x14ac:dyDescent="0.2">
      <c r="A4" s="3" t="s">
        <v>193</v>
      </c>
      <c r="B4" s="3" t="s">
        <v>27</v>
      </c>
      <c r="C4" s="3" t="s">
        <v>28</v>
      </c>
      <c r="D4" s="3" t="s">
        <v>30</v>
      </c>
      <c r="E4" s="3" t="s">
        <v>29</v>
      </c>
      <c r="F4" s="3" t="s">
        <v>31</v>
      </c>
      <c r="G4" s="3" t="s">
        <v>32</v>
      </c>
      <c r="H4" s="3">
        <v>4</v>
      </c>
      <c r="I4" s="3">
        <v>8001</v>
      </c>
      <c r="J4" s="3" t="s">
        <v>33</v>
      </c>
      <c r="K4" s="3" t="s">
        <v>34</v>
      </c>
      <c r="L4" s="3"/>
      <c r="M4" s="3" t="s">
        <v>161</v>
      </c>
      <c r="N4" s="3" t="s">
        <v>36</v>
      </c>
      <c r="O4" s="3" t="s">
        <v>183</v>
      </c>
      <c r="P4" s="3" t="s">
        <v>189</v>
      </c>
      <c r="Q4" s="4">
        <v>30</v>
      </c>
      <c r="R4" s="3" t="s">
        <v>36</v>
      </c>
      <c r="S4" s="4">
        <v>10</v>
      </c>
      <c r="T4" s="3" t="s">
        <v>36</v>
      </c>
      <c r="U4" s="4">
        <v>10</v>
      </c>
      <c r="V4" s="3" t="s">
        <v>36</v>
      </c>
      <c r="W4" s="4">
        <v>5</v>
      </c>
      <c r="X4" s="3" t="s">
        <v>37</v>
      </c>
      <c r="Y4" s="4">
        <v>10</v>
      </c>
      <c r="Z4" s="3" t="s">
        <v>37</v>
      </c>
      <c r="AA4" s="4">
        <v>10</v>
      </c>
      <c r="AB4" t="str">
        <f>_xlfn.TEXTJOIN(",",,"INSERT INTO assetList VALUES (",A4,B4,C4,E4,D4,F4,G4,H4,I4,J4,K4,M4,O4,P4,Q4,R4,S4,T4,U4,V4,W4,X4,Y4,Z4,AA4,")")</f>
        <v>INSERT INTO assetList VALUES (,100001.3,Hotel,Hotel Altstadt,8.54411,47.36936,3*,Kirchgasse,4,8001,Zürich,Switzerland,JuniorSuite,2021-06-10 13:00:00.000000,2021-06-11 12:00:00.000000,30,true,10,true,10,true,5,false,10,false,10,)</v>
      </c>
      <c r="AF4" s="2"/>
    </row>
    <row r="5" spans="1:32" ht="17" customHeight="1" x14ac:dyDescent="0.2">
      <c r="A5" s="3" t="s">
        <v>194</v>
      </c>
      <c r="B5" s="3" t="s">
        <v>27</v>
      </c>
      <c r="C5" s="3" t="s">
        <v>38</v>
      </c>
      <c r="D5" s="3" t="s">
        <v>40</v>
      </c>
      <c r="E5" s="3" t="s">
        <v>39</v>
      </c>
      <c r="F5" s="3" t="s">
        <v>31</v>
      </c>
      <c r="G5" s="3" t="s">
        <v>41</v>
      </c>
      <c r="H5" s="3">
        <v>17</v>
      </c>
      <c r="I5" s="3">
        <v>8001</v>
      </c>
      <c r="J5" s="3" t="s">
        <v>33</v>
      </c>
      <c r="K5" s="3" t="s">
        <v>34</v>
      </c>
      <c r="L5" s="3"/>
      <c r="M5" s="3" t="s">
        <v>35</v>
      </c>
      <c r="N5" s="3" t="s">
        <v>36</v>
      </c>
      <c r="O5" s="3" t="s">
        <v>183</v>
      </c>
      <c r="P5" s="3" t="s">
        <v>189</v>
      </c>
      <c r="Q5" s="4">
        <v>20</v>
      </c>
      <c r="R5" s="3" t="s">
        <v>36</v>
      </c>
      <c r="S5" s="4">
        <v>10</v>
      </c>
      <c r="T5" s="3" t="s">
        <v>36</v>
      </c>
      <c r="U5" s="4">
        <v>10</v>
      </c>
      <c r="V5" s="3" t="s">
        <v>36</v>
      </c>
      <c r="W5" s="4">
        <v>5</v>
      </c>
      <c r="X5" s="3" t="s">
        <v>37</v>
      </c>
      <c r="Y5" s="4">
        <v>10</v>
      </c>
      <c r="Z5" s="3" t="s">
        <v>37</v>
      </c>
      <c r="AA5" s="4">
        <v>10</v>
      </c>
      <c r="AB5" t="str">
        <f>_xlfn.TEXTJOIN(",",,"INSERT INTO assetList VALUES (",A5,B5,C5,E5,D5,F5,G5,H5,I5,J5,K5,M5,O5,P5,Q5,R5,S5,T5,U5,V5,W5,X5,Y5,Z5,AA5,")")</f>
        <v>INSERT INTO assetList VALUES (,100002.1,Hotel,Hotel Old Town,8.54368,47.37362,3*,Niederdorfstrasse,17,8001,Zürich,Switzerland,SingleStandard,2021-06-10 13:00:00.000000,2021-06-11 12:00:00.000000,20,true,10,true,10,true,5,false,10,false,10,)</v>
      </c>
    </row>
    <row r="6" spans="1:32" ht="17" customHeight="1" x14ac:dyDescent="0.2">
      <c r="A6" s="3" t="s">
        <v>197</v>
      </c>
      <c r="B6" s="3" t="s">
        <v>27</v>
      </c>
      <c r="C6" s="3" t="s">
        <v>38</v>
      </c>
      <c r="D6" s="3" t="s">
        <v>40</v>
      </c>
      <c r="E6" s="3" t="s">
        <v>39</v>
      </c>
      <c r="F6" s="3" t="s">
        <v>31</v>
      </c>
      <c r="G6" s="3" t="s">
        <v>41</v>
      </c>
      <c r="H6" s="3">
        <v>17</v>
      </c>
      <c r="I6" s="3">
        <v>8001</v>
      </c>
      <c r="J6" s="3" t="s">
        <v>33</v>
      </c>
      <c r="K6" s="3" t="s">
        <v>34</v>
      </c>
      <c r="L6" s="3"/>
      <c r="M6" s="3" t="s">
        <v>53</v>
      </c>
      <c r="N6" s="3" t="s">
        <v>36</v>
      </c>
      <c r="O6" s="3" t="s">
        <v>183</v>
      </c>
      <c r="P6" s="3" t="s">
        <v>189</v>
      </c>
      <c r="Q6" s="4">
        <v>25</v>
      </c>
      <c r="R6" s="3" t="s">
        <v>36</v>
      </c>
      <c r="S6" s="4">
        <v>10</v>
      </c>
      <c r="T6" s="3" t="s">
        <v>36</v>
      </c>
      <c r="U6" s="4">
        <v>10</v>
      </c>
      <c r="V6" s="3" t="s">
        <v>36</v>
      </c>
      <c r="W6" s="4">
        <v>5</v>
      </c>
      <c r="X6" s="3" t="s">
        <v>37</v>
      </c>
      <c r="Y6" s="4">
        <v>10</v>
      </c>
      <c r="Z6" s="3" t="s">
        <v>37</v>
      </c>
      <c r="AA6" s="4">
        <v>10</v>
      </c>
      <c r="AB6" t="str">
        <f>_xlfn.TEXTJOIN(",",,"INSERT INTO assetList VALUES (",A6,B6,C6,E6,D6,F6,G6,H6,I6,J6,K6,M6,O6,P6,Q6,R6,S6,T6,U6,V6,W6,X6,Y6,Z6,AA6,")")</f>
        <v>INSERT INTO assetList VALUES (,100002.2,Hotel,Hotel Old Town,8.54368,47.37362,3*,Niederdorfstrasse,17,8001,Zürich,Switzerland,DoubleStandard,2021-06-10 13:00:00.000000,2021-06-11 12:00:00.000000,25,true,10,true,10,true,5,false,10,false,10,)</v>
      </c>
    </row>
    <row r="7" spans="1:32" ht="17" customHeight="1" x14ac:dyDescent="0.2">
      <c r="A7" s="3" t="s">
        <v>198</v>
      </c>
      <c r="B7" s="3" t="s">
        <v>27</v>
      </c>
      <c r="C7" s="3" t="s">
        <v>38</v>
      </c>
      <c r="D7" s="3" t="s">
        <v>40</v>
      </c>
      <c r="E7" s="3" t="s">
        <v>39</v>
      </c>
      <c r="F7" s="3" t="s">
        <v>31</v>
      </c>
      <c r="G7" s="3" t="s">
        <v>41</v>
      </c>
      <c r="H7" s="3">
        <v>17</v>
      </c>
      <c r="I7" s="3">
        <v>8001</v>
      </c>
      <c r="J7" s="3" t="s">
        <v>33</v>
      </c>
      <c r="K7" s="3" t="s">
        <v>34</v>
      </c>
      <c r="L7" s="3"/>
      <c r="M7" s="3" t="s">
        <v>180</v>
      </c>
      <c r="N7" s="3" t="s">
        <v>36</v>
      </c>
      <c r="O7" s="3" t="s">
        <v>183</v>
      </c>
      <c r="P7" s="3" t="s">
        <v>189</v>
      </c>
      <c r="Q7" s="4">
        <v>28</v>
      </c>
      <c r="R7" s="3" t="s">
        <v>36</v>
      </c>
      <c r="S7" s="4">
        <v>10</v>
      </c>
      <c r="T7" s="3" t="s">
        <v>36</v>
      </c>
      <c r="U7" s="4">
        <v>10</v>
      </c>
      <c r="V7" s="3" t="s">
        <v>36</v>
      </c>
      <c r="W7" s="4">
        <v>5</v>
      </c>
      <c r="X7" s="3" t="s">
        <v>36</v>
      </c>
      <c r="Y7" s="4">
        <v>10</v>
      </c>
      <c r="Z7" s="3" t="s">
        <v>37</v>
      </c>
      <c r="AA7" s="4">
        <v>10</v>
      </c>
      <c r="AB7" t="str">
        <f>_xlfn.TEXTJOIN(",",,"INSERT INTO assetList VALUES (",A7,B7,C7,E7,D7,F7,G7,H7,I7,J7,K7,M7,O7,P7,Q7,R7,S7,T7,U7,V7,W7,X7,Y7,Z7,AA7,")")</f>
        <v>INSERT INTO assetList VALUES (,100002.3,Hotel,Hotel Old Town,8.54368,47.37362,3*,Niederdorfstrasse,17,8001,Zürich,Switzerland,"DoubleSuperior",2021-06-10 13:00:00.000000,2021-06-11 12:00:00.000000,28,true,10,true,10,true,5,true,10,false,10,)</v>
      </c>
    </row>
    <row r="8" spans="1:32" ht="17" customHeight="1" x14ac:dyDescent="0.2">
      <c r="A8" s="3" t="s">
        <v>199</v>
      </c>
      <c r="B8" s="3" t="s">
        <v>27</v>
      </c>
      <c r="C8" s="3" t="s">
        <v>38</v>
      </c>
      <c r="D8" s="3" t="s">
        <v>40</v>
      </c>
      <c r="E8" s="3" t="s">
        <v>39</v>
      </c>
      <c r="F8" s="3" t="s">
        <v>31</v>
      </c>
      <c r="G8" s="3" t="s">
        <v>41</v>
      </c>
      <c r="H8" s="3">
        <v>17</v>
      </c>
      <c r="I8" s="3">
        <v>8001</v>
      </c>
      <c r="J8" s="3" t="s">
        <v>33</v>
      </c>
      <c r="K8" s="3" t="s">
        <v>34</v>
      </c>
      <c r="L8" s="3"/>
      <c r="M8" s="3" t="s">
        <v>174</v>
      </c>
      <c r="N8" s="3" t="s">
        <v>36</v>
      </c>
      <c r="O8" s="3" t="s">
        <v>183</v>
      </c>
      <c r="P8" s="3" t="s">
        <v>189</v>
      </c>
      <c r="Q8" s="4">
        <v>24</v>
      </c>
      <c r="R8" s="3" t="s">
        <v>36</v>
      </c>
      <c r="S8" s="4">
        <v>10</v>
      </c>
      <c r="T8" s="3" t="s">
        <v>36</v>
      </c>
      <c r="U8" s="4">
        <v>10</v>
      </c>
      <c r="V8" s="3" t="s">
        <v>36</v>
      </c>
      <c r="W8" s="4">
        <v>5</v>
      </c>
      <c r="X8" s="3" t="s">
        <v>36</v>
      </c>
      <c r="Y8" s="4">
        <v>10</v>
      </c>
      <c r="Z8" s="3" t="s">
        <v>37</v>
      </c>
      <c r="AA8" s="4">
        <v>10</v>
      </c>
      <c r="AB8" t="str">
        <f>_xlfn.TEXTJOIN(",",,"INSERT INTO assetList VALUES (",A8,B8,C8,E8,D8,F8,G8,H8,I8,J8,K8,M8,O8,P8,Q8,R8,S8,T8,U8,V8,W8,X8,Y8,Z8,AA8,")")</f>
        <v>INSERT INTO assetList VALUES (,100002.4,Hotel,Hotel Old Town,8.54368,47.37362,3*,Niederdorfstrasse,17,8001,Zürich,Switzerland,"SingelBusiness",2021-06-10 13:00:00.000000,2021-06-11 12:00:00.000000,24,true,10,true,10,true,5,true,10,false,10,)</v>
      </c>
    </row>
    <row r="9" spans="1:32" ht="17" customHeight="1" x14ac:dyDescent="0.2">
      <c r="A9" s="3" t="s">
        <v>195</v>
      </c>
      <c r="B9" s="3" t="s">
        <v>27</v>
      </c>
      <c r="C9" s="3" t="s">
        <v>42</v>
      </c>
      <c r="D9" s="3" t="s">
        <v>44</v>
      </c>
      <c r="E9" s="3" t="s">
        <v>43</v>
      </c>
      <c r="F9" s="3" t="s">
        <v>31</v>
      </c>
      <c r="G9" s="3" t="s">
        <v>45</v>
      </c>
      <c r="H9" s="3">
        <v>26</v>
      </c>
      <c r="I9" s="3">
        <v>8032</v>
      </c>
      <c r="J9" s="3" t="s">
        <v>33</v>
      </c>
      <c r="K9" s="3" t="s">
        <v>34</v>
      </c>
      <c r="L9" s="3"/>
      <c r="M9" s="3" t="s">
        <v>161</v>
      </c>
      <c r="N9" s="3" t="s">
        <v>36</v>
      </c>
      <c r="O9" s="3" t="s">
        <v>183</v>
      </c>
      <c r="P9" s="3" t="s">
        <v>189</v>
      </c>
      <c r="Q9" s="4">
        <v>29</v>
      </c>
      <c r="R9" s="3" t="s">
        <v>36</v>
      </c>
      <c r="S9" s="4">
        <v>10</v>
      </c>
      <c r="T9" s="3" t="s">
        <v>36</v>
      </c>
      <c r="U9" s="4">
        <v>10</v>
      </c>
      <c r="V9" s="3" t="s">
        <v>37</v>
      </c>
      <c r="W9" s="4">
        <v>5</v>
      </c>
      <c r="X9" s="3" t="s">
        <v>36</v>
      </c>
      <c r="Y9" s="4">
        <v>10</v>
      </c>
      <c r="Z9" s="3" t="s">
        <v>37</v>
      </c>
      <c r="AA9" s="4">
        <v>10</v>
      </c>
      <c r="AB9" t="str">
        <f>_xlfn.TEXTJOIN(",",,"INSERT INTO assetList VALUES (",A9,B9,C9,E9,D9,F9,G9,H9,I9,J9,K9,M9,O9,P9,Q9,R9,S9,T9,U9,V9,W9,X9,Y9,Z9,AA9,")")</f>
        <v>INSERT INTO assetList VALUES (,100003.1,Hotel,Hotel Plattenhof,8.55302,47.3743,3*,Plattenstrasse,26,8032,Zürich,Switzerland,JuniorSuite,2021-06-10 13:00:00.000000,2021-06-11 12:00:00.000000,29,true,10,true,10,false,5,true,10,false,10,)</v>
      </c>
    </row>
    <row r="10" spans="1:32" ht="17" customHeight="1" x14ac:dyDescent="0.2">
      <c r="A10" s="3" t="s">
        <v>200</v>
      </c>
      <c r="B10" s="3" t="s">
        <v>27</v>
      </c>
      <c r="C10" s="3" t="s">
        <v>42</v>
      </c>
      <c r="D10" s="3" t="s">
        <v>44</v>
      </c>
      <c r="E10" s="3" t="s">
        <v>43</v>
      </c>
      <c r="F10" s="3" t="s">
        <v>31</v>
      </c>
      <c r="G10" s="3" t="s">
        <v>45</v>
      </c>
      <c r="H10" s="3">
        <v>26</v>
      </c>
      <c r="I10" s="3">
        <v>8032</v>
      </c>
      <c r="J10" s="3" t="s">
        <v>33</v>
      </c>
      <c r="K10" s="3" t="s">
        <v>34</v>
      </c>
      <c r="L10" s="3"/>
      <c r="M10" s="3" t="s">
        <v>174</v>
      </c>
      <c r="N10" s="3" t="s">
        <v>36</v>
      </c>
      <c r="O10" s="3" t="s">
        <v>183</v>
      </c>
      <c r="P10" s="3" t="s">
        <v>189</v>
      </c>
      <c r="Q10" s="4">
        <v>20</v>
      </c>
      <c r="R10" s="3" t="s">
        <v>36</v>
      </c>
      <c r="S10" s="4">
        <v>10</v>
      </c>
      <c r="T10" s="3" t="s">
        <v>36</v>
      </c>
      <c r="U10" s="4">
        <v>10</v>
      </c>
      <c r="V10" s="3" t="s">
        <v>37</v>
      </c>
      <c r="W10" s="4">
        <v>5</v>
      </c>
      <c r="X10" s="3" t="s">
        <v>36</v>
      </c>
      <c r="Y10" s="4">
        <v>10</v>
      </c>
      <c r="Z10" s="3" t="s">
        <v>36</v>
      </c>
      <c r="AA10" s="4">
        <v>10</v>
      </c>
      <c r="AB10" t="str">
        <f>_xlfn.TEXTJOIN(",",,"INSERT INTO assetList VALUES (",A10,B10,C10,E10,D10,F10,G10,H10,I10,J10,K10,M10,O10,P10,Q10,R10,S10,T10,U10,V10,W10,X10,Y10,Z10,AA10,")")</f>
        <v>INSERT INTO assetList VALUES (,100003.2,Hotel,Hotel Plattenhof,8.55302,47.3743,3*,Plattenstrasse,26,8032,Zürich,Switzerland,"SingelBusiness",2021-06-10 13:00:00.000000,2021-06-11 12:00:00.000000,20,true,10,true,10,false,5,true,10,true,10,)</v>
      </c>
    </row>
    <row r="11" spans="1:32" ht="17" customHeight="1" x14ac:dyDescent="0.2">
      <c r="A11" s="3" t="s">
        <v>196</v>
      </c>
      <c r="B11" s="3" t="s">
        <v>27</v>
      </c>
      <c r="C11" s="3" t="s">
        <v>46</v>
      </c>
      <c r="D11" s="3" t="s">
        <v>48</v>
      </c>
      <c r="E11" s="3" t="s">
        <v>47</v>
      </c>
      <c r="F11" s="3" t="s">
        <v>31</v>
      </c>
      <c r="G11" s="3" t="s">
        <v>49</v>
      </c>
      <c r="H11" s="3">
        <v>43</v>
      </c>
      <c r="I11" s="3">
        <v>8001</v>
      </c>
      <c r="J11" s="3" t="s">
        <v>33</v>
      </c>
      <c r="K11" s="3" t="s">
        <v>34</v>
      </c>
      <c r="L11" s="3"/>
      <c r="M11" s="3" t="s">
        <v>35</v>
      </c>
      <c r="N11" s="3" t="s">
        <v>36</v>
      </c>
      <c r="O11" s="3" t="s">
        <v>183</v>
      </c>
      <c r="P11" s="3" t="s">
        <v>189</v>
      </c>
      <c r="Q11" s="4">
        <v>20</v>
      </c>
      <c r="R11" s="3" t="s">
        <v>36</v>
      </c>
      <c r="S11" s="4">
        <v>10</v>
      </c>
      <c r="T11" s="3" t="s">
        <v>36</v>
      </c>
      <c r="U11" s="4">
        <v>10</v>
      </c>
      <c r="V11" s="3" t="s">
        <v>36</v>
      </c>
      <c r="W11" s="4">
        <v>5</v>
      </c>
      <c r="X11" s="3" t="s">
        <v>37</v>
      </c>
      <c r="Y11" s="4">
        <v>10</v>
      </c>
      <c r="Z11" s="3" t="s">
        <v>36</v>
      </c>
      <c r="AA11" s="4">
        <v>10</v>
      </c>
      <c r="AB11" t="str">
        <f>_xlfn.TEXTJOIN(",",,"INSERT INTO assetList VALUES (",A11,B11,C11,E11,D11,F11,G11,H11,I11,J11,K11,M11,O11,P11,Q11,R11,S11,T11,U11,V11,W11,X11,Y11,Z11,AA11,")")</f>
        <v>INSERT INTO assetList VALUES (,100004.1,Hotel,Hotel Sorell Rüti,8.54449,47.37616,3*,Zähringerstrasse,43,8001,Zürich,Switzerland,SingleStandard,2021-06-10 13:00:00.000000,2021-06-11 12:00:00.000000,20,true,10,true,10,true,5,false,10,true,10,)</v>
      </c>
    </row>
    <row r="12" spans="1:32" ht="17" customHeight="1" x14ac:dyDescent="0.2">
      <c r="A12" s="3" t="s">
        <v>201</v>
      </c>
      <c r="B12" s="3" t="s">
        <v>27</v>
      </c>
      <c r="C12" s="3" t="s">
        <v>46</v>
      </c>
      <c r="D12" s="3" t="s">
        <v>48</v>
      </c>
      <c r="E12" s="3" t="s">
        <v>47</v>
      </c>
      <c r="F12" s="3" t="s">
        <v>31</v>
      </c>
      <c r="G12" s="3" t="s">
        <v>49</v>
      </c>
      <c r="H12" s="3">
        <v>43</v>
      </c>
      <c r="I12" s="3">
        <v>8001</v>
      </c>
      <c r="J12" s="3" t="s">
        <v>33</v>
      </c>
      <c r="K12" s="3" t="s">
        <v>34</v>
      </c>
      <c r="L12" s="3"/>
      <c r="M12" s="3" t="s">
        <v>103</v>
      </c>
      <c r="N12" s="3" t="s">
        <v>36</v>
      </c>
      <c r="O12" s="3" t="s">
        <v>183</v>
      </c>
      <c r="P12" s="3" t="s">
        <v>189</v>
      </c>
      <c r="Q12" s="4">
        <v>30</v>
      </c>
      <c r="R12" s="3" t="s">
        <v>36</v>
      </c>
      <c r="S12" s="4">
        <v>10</v>
      </c>
      <c r="T12" s="3" t="s">
        <v>36</v>
      </c>
      <c r="U12" s="4">
        <v>10</v>
      </c>
      <c r="V12" s="3" t="s">
        <v>36</v>
      </c>
      <c r="W12" s="4">
        <v>5</v>
      </c>
      <c r="X12" s="3" t="s">
        <v>37</v>
      </c>
      <c r="Y12" s="4">
        <v>10</v>
      </c>
      <c r="Z12" s="3" t="s">
        <v>36</v>
      </c>
      <c r="AA12" s="4">
        <v>10</v>
      </c>
      <c r="AB12" t="str">
        <f>_xlfn.TEXTJOIN(",",,"INSERT INTO assetList VALUES (",A12,B12,C12,E12,D12,F12,G12,H12,I12,J12,K12,M12,O12,P12,Q12,R12,S12,T12,U12,V12,W12,X12,Y12,Z12,AA12,")")</f>
        <v>INSERT INTO assetList VALUES (,100004.2,Hotel,Hotel Sorell Rüti,8.54449,47.37616,3*,Zähringerstrasse,43,8001,Zürich,Switzerland,DoubleBusiness,2021-06-10 13:00:00.000000,2021-06-11 12:00:00.000000,30,true,10,true,10,true,5,false,10,true,10,)</v>
      </c>
    </row>
    <row r="13" spans="1:32" ht="17" customHeight="1" x14ac:dyDescent="0.2">
      <c r="A13" s="3" t="s">
        <v>243</v>
      </c>
      <c r="B13" s="3" t="s">
        <v>27</v>
      </c>
      <c r="C13" s="3" t="s">
        <v>50</v>
      </c>
      <c r="D13" s="3" t="s">
        <v>52</v>
      </c>
      <c r="E13" s="3" t="s">
        <v>51</v>
      </c>
      <c r="F13" s="3" t="s">
        <v>31</v>
      </c>
      <c r="G13" s="3" t="s">
        <v>41</v>
      </c>
      <c r="H13" s="3">
        <v>40</v>
      </c>
      <c r="I13" s="3">
        <v>8001</v>
      </c>
      <c r="J13" s="3" t="s">
        <v>33</v>
      </c>
      <c r="K13" s="3" t="s">
        <v>34</v>
      </c>
      <c r="L13" s="3"/>
      <c r="M13" s="3" t="s">
        <v>53</v>
      </c>
      <c r="N13" s="3" t="s">
        <v>36</v>
      </c>
      <c r="O13" s="3" t="s">
        <v>183</v>
      </c>
      <c r="P13" s="3" t="s">
        <v>189</v>
      </c>
      <c r="Q13" s="4">
        <v>23</v>
      </c>
      <c r="R13" s="3" t="s">
        <v>36</v>
      </c>
      <c r="S13" s="4">
        <v>10</v>
      </c>
      <c r="T13" s="3" t="s">
        <v>36</v>
      </c>
      <c r="U13" s="4">
        <v>10</v>
      </c>
      <c r="V13" s="3" t="s">
        <v>36</v>
      </c>
      <c r="W13" s="4">
        <v>5</v>
      </c>
      <c r="X13" s="3" t="s">
        <v>37</v>
      </c>
      <c r="Y13" s="4">
        <v>10</v>
      </c>
      <c r="Z13" s="3" t="s">
        <v>36</v>
      </c>
      <c r="AA13" s="4">
        <v>10</v>
      </c>
      <c r="AB13" t="str">
        <f>_xlfn.TEXTJOIN(",",,"INSERT INTO assetList VALUES (",A13,B13,C13,E13,D13,F13,G13,H13,I13,J13,K13,M13,O13,P13,Q13,R13,S13,T13,U13,V13,W13,X13,Y13,Z13,AA13,")")</f>
        <v>INSERT INTO assetList VALUES (,100005,Hotel,Hotel Alexander,8.5439,47.37456,3*,Niederdorfstrasse,40,8001,Zürich,Switzerland,DoubleStandard,2021-06-10 13:00:00.000000,2021-06-11 12:00:00.000000,23,true,10,true,10,true,5,false,10,true,10,)</v>
      </c>
    </row>
    <row r="14" spans="1:32" ht="17" customHeight="1" x14ac:dyDescent="0.2">
      <c r="A14" s="3">
        <v>100006</v>
      </c>
      <c r="B14" s="3" t="s">
        <v>27</v>
      </c>
      <c r="C14" s="3" t="s">
        <v>54</v>
      </c>
      <c r="D14" s="3" t="s">
        <v>56</v>
      </c>
      <c r="E14" s="3" t="s">
        <v>55</v>
      </c>
      <c r="F14" s="3" t="s">
        <v>31</v>
      </c>
      <c r="G14" s="3" t="s">
        <v>57</v>
      </c>
      <c r="H14" s="3">
        <v>4</v>
      </c>
      <c r="I14" s="3">
        <v>8001</v>
      </c>
      <c r="J14" s="3" t="s">
        <v>33</v>
      </c>
      <c r="K14" s="3" t="s">
        <v>34</v>
      </c>
      <c r="L14" s="3"/>
      <c r="M14" s="3" t="s">
        <v>53</v>
      </c>
      <c r="N14" s="3" t="s">
        <v>36</v>
      </c>
      <c r="O14" s="3" t="s">
        <v>184</v>
      </c>
      <c r="P14" s="3" t="s">
        <v>189</v>
      </c>
      <c r="Q14" s="4">
        <v>23</v>
      </c>
      <c r="R14" s="3" t="s">
        <v>36</v>
      </c>
      <c r="S14" s="4">
        <v>10</v>
      </c>
      <c r="T14" s="3" t="s">
        <v>36</v>
      </c>
      <c r="U14" s="4">
        <v>10</v>
      </c>
      <c r="V14" s="3" t="s">
        <v>36</v>
      </c>
      <c r="W14" s="4">
        <v>5</v>
      </c>
      <c r="X14" s="3" t="s">
        <v>37</v>
      </c>
      <c r="Y14" s="4">
        <v>10</v>
      </c>
      <c r="Z14" s="3" t="s">
        <v>37</v>
      </c>
      <c r="AA14" s="4">
        <v>10</v>
      </c>
      <c r="AB14" t="str">
        <f>_xlfn.TEXTJOIN(",",,"INSERT INTO assetList VALUES (",A14,B14,C14,E14,D14,F14,G14,H14,I14,J14,K14,M14,O14,P14,Q14,R14,S14,T14,U14,V14,W14,X14,Y14,Z14,AA14,")")</f>
        <v>INSERT INTO assetList VALUES (,100006,Hotel,Hotel Florhof,8.54795,47.37248,3*,Florhofgasse,4,8001,Zürich,Switzerland,DoubleStandard,2021-06-10 13:30:00.000000,2021-06-11 12:00:00.000000,23,true,10,true,10,true,5,false,10,false,10,)</v>
      </c>
    </row>
    <row r="15" spans="1:32" ht="17" customHeight="1" x14ac:dyDescent="0.2">
      <c r="A15" s="3">
        <v>100007</v>
      </c>
      <c r="B15" s="3" t="s">
        <v>27</v>
      </c>
      <c r="C15" s="3" t="s">
        <v>58</v>
      </c>
      <c r="D15" s="3" t="s">
        <v>60</v>
      </c>
      <c r="E15" s="3" t="s">
        <v>59</v>
      </c>
      <c r="F15" s="3" t="s">
        <v>31</v>
      </c>
      <c r="G15" s="3" t="s">
        <v>61</v>
      </c>
      <c r="H15" s="3">
        <v>1</v>
      </c>
      <c r="I15" s="3">
        <v>8001</v>
      </c>
      <c r="J15" s="3" t="s">
        <v>33</v>
      </c>
      <c r="K15" s="3" t="s">
        <v>34</v>
      </c>
      <c r="L15" s="3"/>
      <c r="M15" s="3" t="s">
        <v>53</v>
      </c>
      <c r="N15" s="3" t="s">
        <v>36</v>
      </c>
      <c r="O15" s="3" t="s">
        <v>184</v>
      </c>
      <c r="P15" s="3" t="s">
        <v>189</v>
      </c>
      <c r="Q15" s="4">
        <v>23</v>
      </c>
      <c r="R15" s="3" t="s">
        <v>36</v>
      </c>
      <c r="S15" s="4">
        <v>10</v>
      </c>
      <c r="T15" s="3" t="s">
        <v>36</v>
      </c>
      <c r="U15" s="4">
        <v>10</v>
      </c>
      <c r="V15" s="3" t="s">
        <v>37</v>
      </c>
      <c r="W15" s="4">
        <v>5</v>
      </c>
      <c r="X15" s="3" t="s">
        <v>37</v>
      </c>
      <c r="Y15" s="4">
        <v>10</v>
      </c>
      <c r="Z15" s="3" t="s">
        <v>37</v>
      </c>
      <c r="AA15" s="4">
        <v>10</v>
      </c>
      <c r="AB15" t="str">
        <f>_xlfn.TEXTJOIN(",",,"INSERT INTO assetList VALUES (",A15,B15,C15,E15,D15,F15,G15,H15,I15,J15,K15,M15,O15,P15,Q15,R15,S15,T15,U15,V15,W15,X15,Y15,Z15,AA15,")")</f>
        <v>INSERT INTO assetList VALUES (,100007,Hotel,Hotel Kindli,8.54069,47.37244,3*,Pfalzgasse,1,8001,Zürich,Switzerland,DoubleStandard,2021-06-10 13:30:00.000000,2021-06-11 12:00:00.000000,23,true,10,true,10,false,5,false,10,false,10,)</v>
      </c>
    </row>
    <row r="16" spans="1:32" ht="17" customHeight="1" x14ac:dyDescent="0.2">
      <c r="A16" s="3">
        <v>100008</v>
      </c>
      <c r="B16" s="3" t="s">
        <v>27</v>
      </c>
      <c r="C16" s="3" t="s">
        <v>62</v>
      </c>
      <c r="D16" s="3" t="s">
        <v>64</v>
      </c>
      <c r="E16" s="3" t="s">
        <v>63</v>
      </c>
      <c r="F16" s="3" t="s">
        <v>31</v>
      </c>
      <c r="G16" s="3" t="s">
        <v>65</v>
      </c>
      <c r="H16" s="3">
        <v>6</v>
      </c>
      <c r="I16" s="3">
        <v>8001</v>
      </c>
      <c r="J16" s="3" t="s">
        <v>33</v>
      </c>
      <c r="K16" s="3" t="s">
        <v>34</v>
      </c>
      <c r="L16" s="3"/>
      <c r="M16" s="3" t="s">
        <v>53</v>
      </c>
      <c r="N16" s="3" t="s">
        <v>36</v>
      </c>
      <c r="O16" s="3" t="s">
        <v>184</v>
      </c>
      <c r="P16" s="3" t="s">
        <v>189</v>
      </c>
      <c r="Q16" s="4">
        <v>23</v>
      </c>
      <c r="R16" s="3" t="s">
        <v>36</v>
      </c>
      <c r="S16" s="4">
        <v>10</v>
      </c>
      <c r="T16" s="3" t="s">
        <v>36</v>
      </c>
      <c r="U16" s="4">
        <v>10</v>
      </c>
      <c r="V16" s="3" t="s">
        <v>37</v>
      </c>
      <c r="W16" s="4">
        <v>5</v>
      </c>
      <c r="X16" s="3" t="s">
        <v>37</v>
      </c>
      <c r="Y16" s="4">
        <v>10</v>
      </c>
      <c r="Z16" s="3" t="s">
        <v>36</v>
      </c>
      <c r="AA16" s="4">
        <v>10</v>
      </c>
      <c r="AB16" t="str">
        <f>_xlfn.TEXTJOIN(",",,"INSERT INTO assetList VALUES (",A16,B16,C16,E16,D16,F16,G16,H16,I16,J16,K16,M16,O16,P16,Q16,R16,S16,T16,U16,V16,W16,X16,Y16,Z16,AA16,")")</f>
        <v>INSERT INTO assetList VALUES (,100008,Hotel,Hotel Royal Zürich,8.54502,47.37898,3*,Leonhardstrasse,6,8001,Zürich,Switzerland,DoubleStandard,2021-06-10 13:30:00.000000,2021-06-11 12:00:00.000000,23,true,10,true,10,false,5,false,10,true,10,)</v>
      </c>
    </row>
    <row r="17" spans="1:28" ht="17" customHeight="1" x14ac:dyDescent="0.2">
      <c r="A17" s="3">
        <v>100009</v>
      </c>
      <c r="B17" s="3" t="s">
        <v>27</v>
      </c>
      <c r="C17" s="3" t="s">
        <v>66</v>
      </c>
      <c r="D17" s="3" t="s">
        <v>68</v>
      </c>
      <c r="E17" s="3" t="s">
        <v>67</v>
      </c>
      <c r="F17" s="3" t="s">
        <v>31</v>
      </c>
      <c r="G17" s="3" t="s">
        <v>69</v>
      </c>
      <c r="H17" s="3">
        <v>10</v>
      </c>
      <c r="I17" s="3">
        <v>8001</v>
      </c>
      <c r="J17" s="3" t="s">
        <v>33</v>
      </c>
      <c r="K17" s="3" t="s">
        <v>34</v>
      </c>
      <c r="L17" s="3"/>
      <c r="M17" s="3" t="s">
        <v>53</v>
      </c>
      <c r="N17" s="3" t="s">
        <v>36</v>
      </c>
      <c r="O17" s="3" t="s">
        <v>184</v>
      </c>
      <c r="P17" s="3" t="s">
        <v>189</v>
      </c>
      <c r="Q17" s="4">
        <v>25</v>
      </c>
      <c r="R17" s="3" t="s">
        <v>36</v>
      </c>
      <c r="S17" s="4">
        <v>10</v>
      </c>
      <c r="T17" s="3" t="s">
        <v>36</v>
      </c>
      <c r="U17" s="4">
        <v>10</v>
      </c>
      <c r="V17" s="3" t="s">
        <v>37</v>
      </c>
      <c r="W17" s="4">
        <v>5</v>
      </c>
      <c r="X17" s="3" t="s">
        <v>37</v>
      </c>
      <c r="Y17" s="4">
        <v>10</v>
      </c>
      <c r="Z17" s="3" t="s">
        <v>36</v>
      </c>
      <c r="AA17" s="4">
        <v>10</v>
      </c>
      <c r="AB17" t="str">
        <f>_xlfn.TEXTJOIN(",",,"INSERT INTO assetList VALUES (",A17,B17,C17,E17,D17,F17,G17,H17,I17,J17,K17,M17,O17,P17,Q17,R17,S17,T17,U17,V17,W17,X17,Y17,Z17,AA17,")")</f>
        <v>INSERT INTO assetList VALUES (,100009,Hotel,Hotel Adler,8.54366,47.37319,3*,Rosengasse,10,8001,Zürich,Switzerland,DoubleStandard,2021-06-10 13:30:00.000000,2021-06-11 12:00:00.000000,25,true,10,true,10,false,5,false,10,true,10,)</v>
      </c>
    </row>
    <row r="18" spans="1:28" ht="17" customHeight="1" x14ac:dyDescent="0.2">
      <c r="A18" s="3">
        <v>100010</v>
      </c>
      <c r="B18" s="3" t="s">
        <v>27</v>
      </c>
      <c r="C18" s="3" t="s">
        <v>70</v>
      </c>
      <c r="D18" s="3" t="s">
        <v>72</v>
      </c>
      <c r="E18" s="3" t="s">
        <v>71</v>
      </c>
      <c r="F18" s="3" t="s">
        <v>31</v>
      </c>
      <c r="G18" s="3" t="s">
        <v>49</v>
      </c>
      <c r="H18" s="3">
        <v>25</v>
      </c>
      <c r="I18" s="3">
        <v>8001</v>
      </c>
      <c r="J18" s="3" t="s">
        <v>33</v>
      </c>
      <c r="K18" s="3" t="s">
        <v>34</v>
      </c>
      <c r="L18" s="3"/>
      <c r="M18" s="3" t="s">
        <v>53</v>
      </c>
      <c r="N18" s="3" t="s">
        <v>36</v>
      </c>
      <c r="O18" s="3" t="s">
        <v>184</v>
      </c>
      <c r="P18" s="3" t="s">
        <v>189</v>
      </c>
      <c r="Q18" s="4">
        <v>25</v>
      </c>
      <c r="R18" s="3" t="s">
        <v>36</v>
      </c>
      <c r="S18" s="4">
        <v>10</v>
      </c>
      <c r="T18" s="3" t="s">
        <v>36</v>
      </c>
      <c r="U18" s="4">
        <v>10</v>
      </c>
      <c r="V18" s="3" t="s">
        <v>37</v>
      </c>
      <c r="W18" s="4">
        <v>5</v>
      </c>
      <c r="X18" s="3" t="s">
        <v>37</v>
      </c>
      <c r="Y18" s="4">
        <v>10</v>
      </c>
      <c r="Z18" s="3" t="s">
        <v>36</v>
      </c>
      <c r="AA18" s="4">
        <v>10</v>
      </c>
      <c r="AB18" t="str">
        <f>_xlfn.TEXTJOIN(",",,"INSERT INTO assetList VALUES (",A18,B18,C18,E18,D18,F18,G18,H18,I18,J18,K18,M18,O18,P18,Q18,R18,S18,T18,U18,V18,W18,X18,Y18,Z18,AA18,")")</f>
        <v>INSERT INTO assetList VALUES (,100010,Hotel,Hotel Felix Zürich,8.54454,47.37523,3*,Zähringerstrasse,25,8001,Zürich,Switzerland,DoubleStandard,2021-06-10 13:30:00.000000,2021-06-11 12:00:00.000000,25,true,10,true,10,false,5,false,10,true,10,)</v>
      </c>
    </row>
    <row r="19" spans="1:28" ht="17" customHeight="1" x14ac:dyDescent="0.2">
      <c r="A19" s="3">
        <v>100011</v>
      </c>
      <c r="B19" s="3" t="s">
        <v>27</v>
      </c>
      <c r="C19" s="3" t="s">
        <v>73</v>
      </c>
      <c r="D19" s="3" t="s">
        <v>75</v>
      </c>
      <c r="E19" s="3" t="s">
        <v>74</v>
      </c>
      <c r="F19" s="3" t="s">
        <v>31</v>
      </c>
      <c r="G19" s="3" t="s">
        <v>65</v>
      </c>
      <c r="H19" s="3">
        <v>1</v>
      </c>
      <c r="I19" s="3">
        <v>8001</v>
      </c>
      <c r="J19" s="3" t="s">
        <v>33</v>
      </c>
      <c r="K19" s="3" t="s">
        <v>34</v>
      </c>
      <c r="L19" s="3"/>
      <c r="M19" s="3" t="s">
        <v>53</v>
      </c>
      <c r="N19" s="3" t="s">
        <v>36</v>
      </c>
      <c r="O19" s="3" t="s">
        <v>184</v>
      </c>
      <c r="P19" s="3" t="s">
        <v>189</v>
      </c>
      <c r="Q19" s="4">
        <v>25</v>
      </c>
      <c r="R19" s="3" t="s">
        <v>36</v>
      </c>
      <c r="S19" s="4">
        <v>10</v>
      </c>
      <c r="T19" s="3" t="s">
        <v>36</v>
      </c>
      <c r="U19" s="4">
        <v>10</v>
      </c>
      <c r="V19" s="3" t="s">
        <v>37</v>
      </c>
      <c r="W19" s="4">
        <v>5</v>
      </c>
      <c r="X19" s="3" t="s">
        <v>37</v>
      </c>
      <c r="Y19" s="4">
        <v>10</v>
      </c>
      <c r="Z19" s="3" t="s">
        <v>36</v>
      </c>
      <c r="AA19" s="4">
        <v>10</v>
      </c>
      <c r="AB19" t="str">
        <f>_xlfn.TEXTJOIN(",",,"INSERT INTO assetList VALUES (",A19,B19,C19,E19,D19,F19,G19,H19,I19,J19,K19,M19,O19,P19,Q19,R19,S19,T19,U19,V19,W19,X19,Y19,Z19,AA19,")")</f>
        <v>INSERT INTO assetList VALUES (,100011,Hotel,Hotel Leoneck Swiss Hotel,8.54514,47.37918,3*,Leonhardstrasse,1,8001,Zürich,Switzerland,DoubleStandard,2021-06-10 13:30:00.000000,2021-06-11 12:00:00.000000,25,true,10,true,10,false,5,false,10,true,10,)</v>
      </c>
    </row>
    <row r="20" spans="1:28" ht="17" customHeight="1" x14ac:dyDescent="0.2">
      <c r="A20" s="3">
        <v>100012</v>
      </c>
      <c r="B20" s="3" t="s">
        <v>27</v>
      </c>
      <c r="C20" s="3" t="s">
        <v>76</v>
      </c>
      <c r="D20" s="3" t="s">
        <v>78</v>
      </c>
      <c r="E20" s="3" t="s">
        <v>77</v>
      </c>
      <c r="F20" s="3" t="s">
        <v>31</v>
      </c>
      <c r="G20" s="3" t="s">
        <v>79</v>
      </c>
      <c r="H20" s="3">
        <v>3</v>
      </c>
      <c r="I20" s="3">
        <v>8001</v>
      </c>
      <c r="J20" s="3" t="s">
        <v>33</v>
      </c>
      <c r="K20" s="3" t="s">
        <v>34</v>
      </c>
      <c r="L20" s="3"/>
      <c r="M20" s="3" t="s">
        <v>53</v>
      </c>
      <c r="N20" s="3" t="s">
        <v>36</v>
      </c>
      <c r="O20" s="3" t="s">
        <v>185</v>
      </c>
      <c r="P20" s="3" t="s">
        <v>189</v>
      </c>
      <c r="Q20" s="4">
        <v>25</v>
      </c>
      <c r="R20" s="3" t="s">
        <v>36</v>
      </c>
      <c r="S20" s="4">
        <v>10</v>
      </c>
      <c r="T20" s="3" t="s">
        <v>36</v>
      </c>
      <c r="U20" s="4">
        <v>10</v>
      </c>
      <c r="V20" s="3" t="s">
        <v>37</v>
      </c>
      <c r="W20" s="4">
        <v>5</v>
      </c>
      <c r="X20" s="3" t="s">
        <v>37</v>
      </c>
      <c r="Y20" s="4">
        <v>10</v>
      </c>
      <c r="Z20" s="3" t="s">
        <v>37</v>
      </c>
      <c r="AA20" s="4">
        <v>10</v>
      </c>
      <c r="AB20" t="str">
        <f>_xlfn.TEXTJOIN(",",,"INSERT INTO assetList VALUES (",A20,B20,C20,E20,D20,F20,G20,H20,I20,J20,K20,M20,O20,P20,Q20,R20,S20,T20,U20,V20,W20,X20,Y20,Z20,AA20,")")</f>
        <v>INSERT INTO assetList VALUES (,100012,Hotel,Hotel Platzhirsch,8.544,47.37352,3*,Spitalgasse,3,8001,Zürich,Switzerland,DoubleStandard,2021-06-10 14:00:00.000000,2021-06-11 12:00:00.000000,25,true,10,true,10,false,5,false,10,false,10,)</v>
      </c>
    </row>
    <row r="21" spans="1:28" ht="17" customHeight="1" x14ac:dyDescent="0.2">
      <c r="A21" s="3">
        <v>100013</v>
      </c>
      <c r="B21" s="3" t="s">
        <v>27</v>
      </c>
      <c r="C21" s="3" t="s">
        <v>80</v>
      </c>
      <c r="D21" s="3" t="s">
        <v>82</v>
      </c>
      <c r="E21" s="3" t="s">
        <v>81</v>
      </c>
      <c r="F21" s="3" t="s">
        <v>31</v>
      </c>
      <c r="G21" s="3" t="s">
        <v>83</v>
      </c>
      <c r="H21" s="3">
        <v>7</v>
      </c>
      <c r="I21" s="3">
        <v>8001</v>
      </c>
      <c r="J21" s="3" t="s">
        <v>33</v>
      </c>
      <c r="K21" s="3" t="s">
        <v>34</v>
      </c>
      <c r="L21" s="3"/>
      <c r="M21" s="3" t="s">
        <v>53</v>
      </c>
      <c r="N21" s="3" t="s">
        <v>36</v>
      </c>
      <c r="O21" s="3" t="s">
        <v>185</v>
      </c>
      <c r="P21" s="3" t="s">
        <v>189</v>
      </c>
      <c r="Q21" s="4">
        <v>25</v>
      </c>
      <c r="R21" s="3" t="s">
        <v>36</v>
      </c>
      <c r="S21" s="4">
        <v>10</v>
      </c>
      <c r="T21" s="3" t="s">
        <v>36</v>
      </c>
      <c r="U21" s="4">
        <v>10</v>
      </c>
      <c r="V21" s="3" t="s">
        <v>37</v>
      </c>
      <c r="W21" s="4">
        <v>5</v>
      </c>
      <c r="X21" s="3" t="s">
        <v>37</v>
      </c>
      <c r="Y21" s="4">
        <v>10</v>
      </c>
      <c r="Z21" s="3" t="s">
        <v>37</v>
      </c>
      <c r="AA21" s="4">
        <v>10</v>
      </c>
      <c r="AB21" t="str">
        <f>_xlfn.TEXTJOIN(",",,"INSERT INTO assetList VALUES (",A21,B21,C21,E21,D21,F21,G21,H21,I21,J21,K21,M21,O21,P21,Q21,R21,S21,T21,U21,V21,W21,X21,Y21,Z21,AA21,")")</f>
        <v>INSERT INTO assetList VALUES (,100013,Hotel,Hotel Rösli,8.54443,47.36924,3*,Rösligasse,7,8001,Zürich,Switzerland,DoubleStandard,2021-06-10 14:00:00.000000,2021-06-11 12:00:00.000000,25,true,10,true,10,false,5,false,10,false,10,)</v>
      </c>
    </row>
    <row r="22" spans="1:28" ht="17" customHeight="1" x14ac:dyDescent="0.2">
      <c r="A22" s="3">
        <v>100014</v>
      </c>
      <c r="B22" s="3" t="s">
        <v>27</v>
      </c>
      <c r="C22" s="3" t="s">
        <v>84</v>
      </c>
      <c r="D22" s="3" t="s">
        <v>86</v>
      </c>
      <c r="E22" s="3" t="s">
        <v>85</v>
      </c>
      <c r="F22" s="3" t="s">
        <v>31</v>
      </c>
      <c r="G22" s="3" t="s">
        <v>87</v>
      </c>
      <c r="H22" s="3">
        <v>17</v>
      </c>
      <c r="I22" s="3">
        <v>8001</v>
      </c>
      <c r="J22" s="3" t="s">
        <v>33</v>
      </c>
      <c r="K22" s="3" t="s">
        <v>34</v>
      </c>
      <c r="L22" s="3"/>
      <c r="M22" s="3" t="s">
        <v>53</v>
      </c>
      <c r="N22" s="3" t="s">
        <v>36</v>
      </c>
      <c r="O22" s="3" t="s">
        <v>272</v>
      </c>
      <c r="P22" s="3" t="s">
        <v>273</v>
      </c>
      <c r="Q22" s="4">
        <v>25</v>
      </c>
      <c r="R22" s="3" t="s">
        <v>36</v>
      </c>
      <c r="S22" s="4">
        <v>10</v>
      </c>
      <c r="T22" s="3" t="s">
        <v>36</v>
      </c>
      <c r="U22" s="4">
        <v>10</v>
      </c>
      <c r="V22" s="3" t="s">
        <v>37</v>
      </c>
      <c r="W22" s="4">
        <v>5</v>
      </c>
      <c r="X22" s="3" t="s">
        <v>37</v>
      </c>
      <c r="Y22" s="4">
        <v>10</v>
      </c>
      <c r="Z22" s="3" t="s">
        <v>37</v>
      </c>
      <c r="AA22" s="4">
        <v>10</v>
      </c>
      <c r="AB22" t="str">
        <f>_xlfn.TEXTJOIN(",",,"INSERT INTO assetList VALUES (",A22,B22,C22,E22,D22,F22,G22,H22,I22,J22,K22,M22,O22,P22,Q22,R22,S22,T22,U22,V22,W22,X22,Y22,Z22,AA22,")")</f>
        <v>INSERT INTO assetList VALUES (,100014,Hotel,Hotel Scheuble,8.54488,47.37444,3*,Mühlegasse,17,8001,Zürich,Switzerland,DoubleStandard,2021-06-11 14:00:00.000000,2021-06-12 17:00:00.000000,25,true,10,true,10,false,5,false,10,false,10,)</v>
      </c>
    </row>
    <row r="23" spans="1:28" ht="17" customHeight="1" x14ac:dyDescent="0.2">
      <c r="A23" s="3">
        <v>100015</v>
      </c>
      <c r="B23" s="3" t="s">
        <v>27</v>
      </c>
      <c r="C23" s="3" t="s">
        <v>88</v>
      </c>
      <c r="D23" s="3" t="s">
        <v>90</v>
      </c>
      <c r="E23" s="3" t="s">
        <v>89</v>
      </c>
      <c r="F23" s="3" t="s">
        <v>31</v>
      </c>
      <c r="G23" s="3" t="s">
        <v>91</v>
      </c>
      <c r="H23" s="3">
        <v>7</v>
      </c>
      <c r="I23" s="3">
        <v>8001</v>
      </c>
      <c r="J23" s="3" t="s">
        <v>33</v>
      </c>
      <c r="K23" s="3" t="s">
        <v>34</v>
      </c>
      <c r="L23" s="3"/>
      <c r="M23" s="3" t="s">
        <v>53</v>
      </c>
      <c r="N23" s="3" t="s">
        <v>36</v>
      </c>
      <c r="O23" s="3" t="s">
        <v>272</v>
      </c>
      <c r="P23" s="3" t="s">
        <v>273</v>
      </c>
      <c r="Q23" s="4">
        <v>25</v>
      </c>
      <c r="R23" s="3" t="s">
        <v>36</v>
      </c>
      <c r="S23" s="4">
        <v>10</v>
      </c>
      <c r="T23" s="3" t="s">
        <v>36</v>
      </c>
      <c r="U23" s="4">
        <v>10</v>
      </c>
      <c r="V23" s="3" t="s">
        <v>37</v>
      </c>
      <c r="W23" s="4">
        <v>5</v>
      </c>
      <c r="X23" s="3" t="s">
        <v>37</v>
      </c>
      <c r="Y23" s="4">
        <v>10</v>
      </c>
      <c r="Z23" s="3" t="s">
        <v>37</v>
      </c>
      <c r="AA23" s="4">
        <v>10</v>
      </c>
      <c r="AB23" t="str">
        <f>_xlfn.TEXTJOIN(",",,"INSERT INTO assetList VALUES (",A23,B23,C23,E23,D23,F23,G23,H23,I23,J23,K23,M23,O23,P23,Q23,R23,S23,T23,U23,V23,W23,X23,Y23,Z23,AA23,")")</f>
        <v>INSERT INTO assetList VALUES (,100015,Hotel,Hotel Townhouse,8.54007,47.37631,3*,Schützengasse,7,8001,Zürich,Switzerland,DoubleStandard,2021-06-11 14:00:00.000000,2021-06-12 17:00:00.000000,25,true,10,true,10,false,5,false,10,false,10,)</v>
      </c>
    </row>
    <row r="24" spans="1:28" ht="17" customHeight="1" x14ac:dyDescent="0.2">
      <c r="A24" s="3">
        <v>100016</v>
      </c>
      <c r="B24" s="3" t="s">
        <v>27</v>
      </c>
      <c r="C24" s="3" t="s">
        <v>92</v>
      </c>
      <c r="D24" s="3" t="s">
        <v>94</v>
      </c>
      <c r="E24" s="3" t="s">
        <v>93</v>
      </c>
      <c r="F24" s="3" t="s">
        <v>31</v>
      </c>
      <c r="G24" s="3" t="s">
        <v>95</v>
      </c>
      <c r="H24" s="3">
        <v>5</v>
      </c>
      <c r="I24" s="3">
        <v>8005</v>
      </c>
      <c r="J24" s="3" t="s">
        <v>33</v>
      </c>
      <c r="K24" s="3" t="s">
        <v>34</v>
      </c>
      <c r="L24" s="3"/>
      <c r="M24" s="3" t="s">
        <v>53</v>
      </c>
      <c r="N24" s="3" t="s">
        <v>36</v>
      </c>
      <c r="O24" s="3" t="s">
        <v>272</v>
      </c>
      <c r="P24" s="3" t="s">
        <v>273</v>
      </c>
      <c r="Q24" s="4">
        <v>25</v>
      </c>
      <c r="R24" s="3" t="s">
        <v>36</v>
      </c>
      <c r="S24" s="4">
        <v>10</v>
      </c>
      <c r="T24" s="3" t="s">
        <v>36</v>
      </c>
      <c r="U24" s="4">
        <v>10</v>
      </c>
      <c r="V24" s="3" t="s">
        <v>36</v>
      </c>
      <c r="W24" s="4">
        <v>5</v>
      </c>
      <c r="X24" s="3" t="s">
        <v>37</v>
      </c>
      <c r="Y24" s="4">
        <v>10</v>
      </c>
      <c r="Z24" s="3" t="s">
        <v>37</v>
      </c>
      <c r="AA24" s="4">
        <v>10</v>
      </c>
      <c r="AB24" t="str">
        <f>_xlfn.TEXTJOIN(",",,"INSERT INTO assetList VALUES (",A24,B24,C24,E24,D24,F24,G24,H24,I24,J24,K24,M24,O24,P24,Q24,R24,S24,T24,U24,V24,W24,X24,Y24,Z24,AA24,")")</f>
        <v>INSERT INTO assetList VALUES (,100016,Hotel,Hotel Walhalla Zürich,8.53721,47.38028,3*,Limmatstrasse,5,8005,Zürich,Switzerland,DoubleStandard,2021-06-11 14:00:00.000000,2021-06-12 17:00:00.000000,25,true,10,true,10,true,5,false,10,false,10,)</v>
      </c>
    </row>
    <row r="25" spans="1:28" ht="17" customHeight="1" x14ac:dyDescent="0.2">
      <c r="A25" s="3">
        <v>100017</v>
      </c>
      <c r="B25" s="3" t="s">
        <v>27</v>
      </c>
      <c r="C25" s="3" t="s">
        <v>96</v>
      </c>
      <c r="D25" s="3" t="s">
        <v>98</v>
      </c>
      <c r="E25" s="3" t="s">
        <v>97</v>
      </c>
      <c r="F25" s="3" t="s">
        <v>31</v>
      </c>
      <c r="G25" s="3" t="s">
        <v>49</v>
      </c>
      <c r="H25" s="3">
        <v>21</v>
      </c>
      <c r="I25" s="3">
        <v>8001</v>
      </c>
      <c r="J25" s="3" t="s">
        <v>33</v>
      </c>
      <c r="K25" s="3" t="s">
        <v>34</v>
      </c>
      <c r="L25" s="3"/>
      <c r="M25" s="3" t="s">
        <v>53</v>
      </c>
      <c r="N25" s="3" t="s">
        <v>36</v>
      </c>
      <c r="O25" s="3" t="s">
        <v>272</v>
      </c>
      <c r="P25" s="3" t="s">
        <v>273</v>
      </c>
      <c r="Q25" s="4">
        <v>25</v>
      </c>
      <c r="R25" s="3" t="s">
        <v>36</v>
      </c>
      <c r="S25" s="4">
        <v>10</v>
      </c>
      <c r="T25" s="3" t="s">
        <v>36</v>
      </c>
      <c r="U25" s="4">
        <v>10</v>
      </c>
      <c r="V25" s="3" t="s">
        <v>36</v>
      </c>
      <c r="W25" s="4">
        <v>5</v>
      </c>
      <c r="X25" s="3" t="s">
        <v>37</v>
      </c>
      <c r="Y25" s="4">
        <v>10</v>
      </c>
      <c r="Z25" s="3" t="s">
        <v>37</v>
      </c>
      <c r="AA25" s="4">
        <v>10</v>
      </c>
      <c r="AB25" t="str">
        <f>_xlfn.TEXTJOIN(",",,"INSERT INTO assetList VALUES (",A25,B25,C25,E25,D25,F25,G25,H25,I25,J25,K25,M25,O25,P25,Q25,R25,S25,T25,U25,V25,W25,X25,Y25,Z25,AA25,")")</f>
        <v>INSERT INTO assetList VALUES (,100017,Hotel,Hotel Zürcherhof Beste Western Plus,8.54433,47.37568,3*,Zähringerstrasse,21,8001,Zürich,Switzerland,DoubleStandard,2021-06-11 14:00:00.000000,2021-06-12 17:00:00.000000,25,true,10,true,10,true,5,false,10,false,10,)</v>
      </c>
    </row>
    <row r="26" spans="1:28" ht="17" customHeight="1" x14ac:dyDescent="0.2">
      <c r="A26" s="3">
        <v>100018</v>
      </c>
      <c r="B26" s="3" t="s">
        <v>27</v>
      </c>
      <c r="C26" s="3" t="s">
        <v>99</v>
      </c>
      <c r="D26" s="3" t="s">
        <v>101</v>
      </c>
      <c r="E26" s="3" t="s">
        <v>100</v>
      </c>
      <c r="F26" s="3" t="s">
        <v>31</v>
      </c>
      <c r="G26" s="3" t="s">
        <v>102</v>
      </c>
      <c r="H26" s="3">
        <v>18</v>
      </c>
      <c r="I26" s="3">
        <v>8001</v>
      </c>
      <c r="J26" s="3" t="s">
        <v>33</v>
      </c>
      <c r="K26" s="3" t="s">
        <v>34</v>
      </c>
      <c r="L26" s="3"/>
      <c r="M26" s="3" t="s">
        <v>103</v>
      </c>
      <c r="N26" s="3" t="s">
        <v>36</v>
      </c>
      <c r="O26" s="3" t="s">
        <v>272</v>
      </c>
      <c r="P26" s="3" t="s">
        <v>273</v>
      </c>
      <c r="Q26" s="4">
        <v>27</v>
      </c>
      <c r="R26" s="3" t="s">
        <v>36</v>
      </c>
      <c r="S26" s="4">
        <v>10</v>
      </c>
      <c r="T26" s="3" t="s">
        <v>36</v>
      </c>
      <c r="U26" s="4">
        <v>10</v>
      </c>
      <c r="V26" s="3" t="s">
        <v>36</v>
      </c>
      <c r="W26" s="4">
        <v>5</v>
      </c>
      <c r="X26" s="3" t="s">
        <v>37</v>
      </c>
      <c r="Y26" s="4">
        <v>10</v>
      </c>
      <c r="Z26" s="3" t="s">
        <v>37</v>
      </c>
      <c r="AA26" s="4">
        <v>10</v>
      </c>
      <c r="AB26" t="str">
        <f>_xlfn.TEXTJOIN(",",,"INSERT INTO assetList VALUES (",A26,B26,C26,E26,D26,F26,G26,H26,I26,J26,K26,M26,O26,P26,Q26,R26,S26,T26,U26,V26,W26,X26,Y26,Z26,AA26,")")</f>
        <v>INSERT INTO assetList VALUES (,100018,Hotel,Hotel California,8.5446,47.36872,3*,Schifflände,18,8001,Zürich,Switzerland,DoubleBusiness,2021-06-11 14:00:00.000000,2021-06-12 17:00:00.000000,27,true,10,true,10,true,5,false,10,false,10,)</v>
      </c>
    </row>
    <row r="27" spans="1:28" ht="17" customHeight="1" x14ac:dyDescent="0.2">
      <c r="A27" s="3">
        <v>100019</v>
      </c>
      <c r="B27" s="3" t="s">
        <v>27</v>
      </c>
      <c r="C27" s="3" t="s">
        <v>104</v>
      </c>
      <c r="D27" s="3" t="s">
        <v>106</v>
      </c>
      <c r="E27" s="3" t="s">
        <v>105</v>
      </c>
      <c r="F27" s="3" t="s">
        <v>31</v>
      </c>
      <c r="G27" s="3" t="s">
        <v>107</v>
      </c>
      <c r="H27" s="3">
        <v>34</v>
      </c>
      <c r="I27" s="3">
        <v>8006</v>
      </c>
      <c r="J27" s="3" t="s">
        <v>33</v>
      </c>
      <c r="K27" s="3" t="s">
        <v>34</v>
      </c>
      <c r="L27" s="3"/>
      <c r="M27" s="3" t="s">
        <v>103</v>
      </c>
      <c r="N27" s="3" t="s">
        <v>36</v>
      </c>
      <c r="O27" s="3" t="s">
        <v>272</v>
      </c>
      <c r="P27" s="3" t="s">
        <v>273</v>
      </c>
      <c r="Q27" s="4">
        <v>27</v>
      </c>
      <c r="R27" s="3" t="s">
        <v>36</v>
      </c>
      <c r="S27" s="4">
        <v>10</v>
      </c>
      <c r="T27" s="3" t="s">
        <v>36</v>
      </c>
      <c r="U27" s="4">
        <v>10</v>
      </c>
      <c r="V27" s="3" t="s">
        <v>36</v>
      </c>
      <c r="W27" s="4">
        <v>5</v>
      </c>
      <c r="X27" s="3" t="s">
        <v>37</v>
      </c>
      <c r="Y27" s="4">
        <v>10</v>
      </c>
      <c r="Z27" s="3" t="s">
        <v>37</v>
      </c>
      <c r="AA27" s="4">
        <v>10</v>
      </c>
      <c r="AB27" t="str">
        <f>_xlfn.TEXTJOIN(",",,"INSERT INTO assetList VALUES (",A27,B27,C27,E27,D27,F27,G27,H27,I27,J27,K27,M27,O27,P27,Q27,R27,S27,T27,U27,V27,W27,X27,Y27,Z27,AA27,")")</f>
        <v>INSERT INTO assetList VALUES (,100019,Hotel,Hotel Garni Bristol ,8.54349,47.37967,3*,Stampfenbachstrasse,34,8006,Zürich,Switzerland,DoubleBusiness,2021-06-11 14:00:00.000000,2021-06-12 17:00:00.000000,27,true,10,true,10,true,5,false,10,false,10,)</v>
      </c>
    </row>
    <row r="28" spans="1:28" ht="17" customHeight="1" x14ac:dyDescent="0.2">
      <c r="A28" s="3">
        <v>100020</v>
      </c>
      <c r="B28" s="3" t="s">
        <v>27</v>
      </c>
      <c r="C28" s="3" t="s">
        <v>108</v>
      </c>
      <c r="D28" s="3" t="s">
        <v>110</v>
      </c>
      <c r="E28" s="3" t="s">
        <v>109</v>
      </c>
      <c r="F28" s="3" t="s">
        <v>31</v>
      </c>
      <c r="G28" s="3" t="s">
        <v>41</v>
      </c>
      <c r="H28" s="3">
        <v>13</v>
      </c>
      <c r="I28" s="3">
        <v>8001</v>
      </c>
      <c r="J28" s="3" t="s">
        <v>33</v>
      </c>
      <c r="K28" s="3" t="s">
        <v>34</v>
      </c>
      <c r="L28" s="3"/>
      <c r="M28" s="3" t="s">
        <v>103</v>
      </c>
      <c r="N28" s="3" t="s">
        <v>36</v>
      </c>
      <c r="O28" s="3" t="s">
        <v>272</v>
      </c>
      <c r="P28" s="3" t="s">
        <v>273</v>
      </c>
      <c r="Q28" s="4">
        <v>27</v>
      </c>
      <c r="R28" s="3" t="s">
        <v>36</v>
      </c>
      <c r="S28" s="4">
        <v>10</v>
      </c>
      <c r="T28" s="3" t="s">
        <v>36</v>
      </c>
      <c r="U28" s="4">
        <v>10</v>
      </c>
      <c r="V28" s="3" t="s">
        <v>36</v>
      </c>
      <c r="W28" s="4">
        <v>5</v>
      </c>
      <c r="X28" s="3" t="s">
        <v>37</v>
      </c>
      <c r="Y28" s="4">
        <v>10</v>
      </c>
      <c r="Z28" s="3" t="s">
        <v>37</v>
      </c>
      <c r="AA28" s="4">
        <v>10</v>
      </c>
      <c r="AB28" t="str">
        <f>_xlfn.TEXTJOIN(",",,"INSERT INTO assetList VALUES (",A28,B28,C28,E28,D28,F28,G28,H28,I28,J28,K28,M28,O28,P28,Q28,R28,S28,T28,U28,V28,W28,X28,Y28,Z28,AA28,")")</f>
        <v>INSERT INTO assetList VALUES (,100020,Hotel,Hotel Hirschen,8.54367,47.3734,3*,Niederdorfstrasse,13,8001,Zürich,Switzerland,DoubleBusiness,2021-06-11 14:00:00.000000,2021-06-12 17:00:00.000000,27,true,10,true,10,true,5,false,10,false,10,)</v>
      </c>
    </row>
    <row r="29" spans="1:28" ht="17" customHeight="1" x14ac:dyDescent="0.2">
      <c r="A29" s="3">
        <v>100021</v>
      </c>
      <c r="B29" s="3" t="s">
        <v>27</v>
      </c>
      <c r="C29" s="3" t="s">
        <v>111</v>
      </c>
      <c r="D29" s="3" t="s">
        <v>113</v>
      </c>
      <c r="E29" s="3" t="s">
        <v>112</v>
      </c>
      <c r="F29" s="3" t="s">
        <v>31</v>
      </c>
      <c r="G29" s="3" t="s">
        <v>114</v>
      </c>
      <c r="H29" s="3">
        <v>64</v>
      </c>
      <c r="I29" s="3">
        <v>8001</v>
      </c>
      <c r="J29" s="3" t="s">
        <v>33</v>
      </c>
      <c r="K29" s="3" t="s">
        <v>34</v>
      </c>
      <c r="L29" s="3"/>
      <c r="M29" s="3" t="s">
        <v>103</v>
      </c>
      <c r="N29" s="3" t="s">
        <v>36</v>
      </c>
      <c r="O29" s="3" t="s">
        <v>272</v>
      </c>
      <c r="P29" s="3" t="s">
        <v>273</v>
      </c>
      <c r="Q29" s="4">
        <v>27</v>
      </c>
      <c r="R29" s="3" t="s">
        <v>36</v>
      </c>
      <c r="S29" s="4">
        <v>10</v>
      </c>
      <c r="T29" s="3" t="s">
        <v>36</v>
      </c>
      <c r="U29" s="4">
        <v>10</v>
      </c>
      <c r="V29" s="3" t="s">
        <v>36</v>
      </c>
      <c r="W29" s="4">
        <v>5</v>
      </c>
      <c r="X29" s="3" t="s">
        <v>37</v>
      </c>
      <c r="Y29" s="4">
        <v>10</v>
      </c>
      <c r="Z29" s="3" t="s">
        <v>37</v>
      </c>
      <c r="AA29" s="4">
        <v>10</v>
      </c>
      <c r="AB29" t="str">
        <f>_xlfn.TEXTJOIN(",",,"INSERT INTO assetList VALUES (",A29,B29,C29,E29,D29,F29,G29,H29,I29,J29,K29,M29,O29,P29,Q29,R29,S29,T29,U29,V29,W29,X29,Y29,Z29,AA29,")")</f>
        <v>INSERT INTO assetList VALUES (,100021,Hotel,Hotel St. Josef,8.5458,47.37534,3*,Hirschengraben,64,8001,Zürich,Switzerland,DoubleBusiness,2021-06-11 14:00:00.000000,2021-06-12 17:00:00.000000,27,true,10,true,10,true,5,false,10,false,10,)</v>
      </c>
    </row>
    <row r="30" spans="1:28" ht="17" customHeight="1" x14ac:dyDescent="0.2">
      <c r="A30" s="3" t="s">
        <v>244</v>
      </c>
      <c r="B30" s="3" t="s">
        <v>27</v>
      </c>
      <c r="C30" s="3" t="s">
        <v>115</v>
      </c>
      <c r="D30" s="3" t="s">
        <v>117</v>
      </c>
      <c r="E30" s="3" t="s">
        <v>116</v>
      </c>
      <c r="F30" s="3" t="s">
        <v>118</v>
      </c>
      <c r="G30" s="3" t="s">
        <v>119</v>
      </c>
      <c r="H30" s="3">
        <v>12</v>
      </c>
      <c r="I30" s="3">
        <v>8001</v>
      </c>
      <c r="J30" s="3" t="s">
        <v>33</v>
      </c>
      <c r="K30" s="3" t="s">
        <v>34</v>
      </c>
      <c r="L30" s="3"/>
      <c r="M30" s="3" t="s">
        <v>35</v>
      </c>
      <c r="N30" s="3" t="s">
        <v>36</v>
      </c>
      <c r="O30" s="3" t="s">
        <v>272</v>
      </c>
      <c r="P30" s="3" t="s">
        <v>273</v>
      </c>
      <c r="Q30" s="4">
        <v>30</v>
      </c>
      <c r="R30" s="3" t="s">
        <v>36</v>
      </c>
      <c r="S30" s="4">
        <v>12</v>
      </c>
      <c r="T30" s="3" t="s">
        <v>36</v>
      </c>
      <c r="U30" s="4">
        <v>15</v>
      </c>
      <c r="V30" s="3" t="s">
        <v>36</v>
      </c>
      <c r="W30" s="4">
        <v>8</v>
      </c>
      <c r="X30" s="3" t="s">
        <v>36</v>
      </c>
      <c r="Y30" s="4">
        <v>10</v>
      </c>
      <c r="Z30" s="3" t="s">
        <v>36</v>
      </c>
      <c r="AA30" s="4">
        <v>10</v>
      </c>
      <c r="AB30" t="str">
        <f>_xlfn.TEXTJOIN(",",,"INSERT INTO assetList VALUES (",A30,B30,C30,E30,D30,F30,G30,H30,I30,J30,K30,M30,O30,P30,Q30,R30,S30,T30,U30,V30,W30,X30,Y30,Z30,AA30,")")</f>
        <v>INSERT INTO assetList VALUES (,100022.1,Hotel,Hotel Savoy Baur en Ville,8.53961,47.36997,5*,Poststrasse,12,8001,Zürich,Switzerland,SingleStandard,2021-06-11 14:00:00.000000,2021-06-12 17:00:00.000000,30,true,12,true,15,true,8,true,10,true,10,)</v>
      </c>
    </row>
    <row r="31" spans="1:28" ht="17" customHeight="1" x14ac:dyDescent="0.2">
      <c r="A31" s="3" t="s">
        <v>245</v>
      </c>
      <c r="B31" s="3" t="s">
        <v>27</v>
      </c>
      <c r="C31" s="3" t="s">
        <v>115</v>
      </c>
      <c r="D31" s="3" t="s">
        <v>117</v>
      </c>
      <c r="E31" s="3" t="s">
        <v>116</v>
      </c>
      <c r="F31" s="3" t="s">
        <v>118</v>
      </c>
      <c r="G31" s="3" t="s">
        <v>119</v>
      </c>
      <c r="H31" s="3">
        <v>12</v>
      </c>
      <c r="I31" s="3">
        <v>8001</v>
      </c>
      <c r="J31" s="3" t="s">
        <v>33</v>
      </c>
      <c r="K31" s="3" t="s">
        <v>34</v>
      </c>
      <c r="L31" s="3"/>
      <c r="M31" s="3" t="s">
        <v>35</v>
      </c>
      <c r="N31" s="3" t="s">
        <v>36</v>
      </c>
      <c r="O31" s="3" t="s">
        <v>272</v>
      </c>
      <c r="P31" s="3" t="s">
        <v>273</v>
      </c>
      <c r="Q31" s="4">
        <v>31</v>
      </c>
      <c r="R31" s="3" t="s">
        <v>36</v>
      </c>
      <c r="S31" s="4">
        <v>12</v>
      </c>
      <c r="T31" s="3" t="s">
        <v>36</v>
      </c>
      <c r="U31" s="4">
        <v>15</v>
      </c>
      <c r="V31" s="3" t="s">
        <v>36</v>
      </c>
      <c r="W31" s="4">
        <v>8</v>
      </c>
      <c r="X31" s="3" t="s">
        <v>36</v>
      </c>
      <c r="Y31" s="4">
        <v>10</v>
      </c>
      <c r="Z31" s="3" t="s">
        <v>36</v>
      </c>
      <c r="AA31" s="4">
        <v>10</v>
      </c>
      <c r="AB31" t="str">
        <f>_xlfn.TEXTJOIN(",",,"INSERT INTO assetList VALUES (",A31,B31,C31,E31,D31,F31,G31,H31,I31,J31,K31,M31,O31,P31,Q31,R31,S31,T31,U31,V31,W31,X31,Y31,Z31,AA31,")")</f>
        <v>INSERT INTO assetList VALUES (,100022.2,Hotel,Hotel Savoy Baur en Ville,8.53961,47.36997,5*,Poststrasse,12,8001,Zürich,Switzerland,SingleStandard,2021-06-11 14:00:00.000000,2021-06-12 17:00:00.000000,31,true,12,true,15,true,8,true,10,true,10,)</v>
      </c>
    </row>
    <row r="32" spans="1:28" ht="17" customHeight="1" x14ac:dyDescent="0.2">
      <c r="A32" s="3" t="s">
        <v>246</v>
      </c>
      <c r="B32" s="3" t="s">
        <v>27</v>
      </c>
      <c r="C32" s="3" t="s">
        <v>115</v>
      </c>
      <c r="D32" s="3" t="s">
        <v>117</v>
      </c>
      <c r="E32" s="3" t="s">
        <v>116</v>
      </c>
      <c r="F32" s="3" t="s">
        <v>118</v>
      </c>
      <c r="G32" s="3" t="s">
        <v>119</v>
      </c>
      <c r="H32" s="3">
        <v>12</v>
      </c>
      <c r="I32" s="3">
        <v>8001</v>
      </c>
      <c r="J32" s="3" t="s">
        <v>33</v>
      </c>
      <c r="K32" s="3" t="s">
        <v>34</v>
      </c>
      <c r="L32" s="3"/>
      <c r="M32" s="3" t="s">
        <v>177</v>
      </c>
      <c r="N32" s="3" t="s">
        <v>36</v>
      </c>
      <c r="O32" s="3" t="s">
        <v>272</v>
      </c>
      <c r="P32" s="3" t="s">
        <v>273</v>
      </c>
      <c r="Q32" s="4">
        <v>33</v>
      </c>
      <c r="R32" s="3" t="s">
        <v>36</v>
      </c>
      <c r="S32" s="4">
        <v>15</v>
      </c>
      <c r="T32" s="3" t="s">
        <v>36</v>
      </c>
      <c r="U32" s="4">
        <v>17</v>
      </c>
      <c r="V32" s="3" t="s">
        <v>37</v>
      </c>
      <c r="W32" s="4">
        <v>8</v>
      </c>
      <c r="X32" s="3" t="s">
        <v>36</v>
      </c>
      <c r="Y32" s="4">
        <v>10</v>
      </c>
      <c r="Z32" s="3" t="s">
        <v>36</v>
      </c>
      <c r="AA32" s="4">
        <v>10</v>
      </c>
      <c r="AB32" t="str">
        <f>_xlfn.TEXTJOIN(",",,"INSERT INTO assetList VALUES (",A32,B32,C32,E32,D32,F32,G32,H32,I32,J32,K32,M32,O32,P32,Q32,R32,S32,T32,U32,V32,W32,X32,Y32,Z32,AA32,")")</f>
        <v>INSERT INTO assetList VALUES (,100022.3,Hotel,Hotel Savoy Baur en Ville,8.53961,47.36997,5*,Poststrasse,12,8001,Zürich,Switzerland,"DoubleStandard",2021-06-11 14:00:00.000000,2021-06-12 17:00:00.000000,33,true,15,true,17,false,8,true,10,true,10,)</v>
      </c>
    </row>
    <row r="33" spans="1:33" ht="17" customHeight="1" x14ac:dyDescent="0.2">
      <c r="A33" s="3" t="s">
        <v>247</v>
      </c>
      <c r="B33" s="3" t="s">
        <v>27</v>
      </c>
      <c r="C33" s="3" t="s">
        <v>115</v>
      </c>
      <c r="D33" s="3" t="s">
        <v>117</v>
      </c>
      <c r="E33" s="3" t="s">
        <v>116</v>
      </c>
      <c r="F33" s="3" t="s">
        <v>118</v>
      </c>
      <c r="G33" s="3" t="s">
        <v>119</v>
      </c>
      <c r="H33" s="3">
        <v>12</v>
      </c>
      <c r="I33" s="3">
        <v>8001</v>
      </c>
      <c r="J33" s="3" t="s">
        <v>33</v>
      </c>
      <c r="K33" s="3" t="s">
        <v>34</v>
      </c>
      <c r="L33" s="3"/>
      <c r="M33" s="3" t="s">
        <v>182</v>
      </c>
      <c r="N33" s="3" t="s">
        <v>36</v>
      </c>
      <c r="O33" s="3" t="s">
        <v>272</v>
      </c>
      <c r="P33" s="3" t="s">
        <v>273</v>
      </c>
      <c r="Q33" s="4">
        <v>35</v>
      </c>
      <c r="R33" s="3" t="s">
        <v>36</v>
      </c>
      <c r="S33" s="4">
        <v>17</v>
      </c>
      <c r="T33" s="3" t="s">
        <v>36</v>
      </c>
      <c r="U33" s="4">
        <v>17</v>
      </c>
      <c r="V33" s="3" t="s">
        <v>37</v>
      </c>
      <c r="W33" s="4">
        <v>8</v>
      </c>
      <c r="X33" s="3" t="s">
        <v>36</v>
      </c>
      <c r="Y33" s="4">
        <v>10</v>
      </c>
      <c r="Z33" s="3" t="s">
        <v>36</v>
      </c>
      <c r="AA33" s="4">
        <v>10</v>
      </c>
      <c r="AB33" t="str">
        <f>_xlfn.TEXTJOIN(",",,"INSERT INTO assetList VALUES (",A33,B33,C33,E33,D33,F33,G33,H33,I33,J33,K33,M33,O33,P33,Q33,R33,S33,T33,U33,V33,W33,X33,Y33,Z33,AA33,")")</f>
        <v>INSERT INTO assetList VALUES (,100022.4,Hotel,Hotel Savoy Baur en Ville,8.53961,47.36997,5*,Poststrasse,12,8001,Zürich,Switzerland,"DoubleBusiness",2021-06-11 14:00:00.000000,2021-06-12 17:00:00.000000,35,true,17,true,17,false,8,true,10,true,10,)</v>
      </c>
    </row>
    <row r="34" spans="1:33" ht="17" customHeight="1" x14ac:dyDescent="0.2">
      <c r="A34" s="3">
        <v>100023</v>
      </c>
      <c r="B34" s="3" t="s">
        <v>27</v>
      </c>
      <c r="C34" s="3" t="s">
        <v>121</v>
      </c>
      <c r="D34" s="3" t="s">
        <v>123</v>
      </c>
      <c r="E34" s="3" t="s">
        <v>122</v>
      </c>
      <c r="F34" s="3" t="s">
        <v>124</v>
      </c>
      <c r="G34" s="3" t="s">
        <v>125</v>
      </c>
      <c r="H34" s="3">
        <v>7</v>
      </c>
      <c r="I34" s="3">
        <v>8001</v>
      </c>
      <c r="J34" s="3" t="s">
        <v>33</v>
      </c>
      <c r="K34" s="3" t="s">
        <v>34</v>
      </c>
      <c r="L34" s="3"/>
      <c r="M34" s="3" t="s">
        <v>35</v>
      </c>
      <c r="N34" s="3" t="s">
        <v>36</v>
      </c>
      <c r="O34" s="3" t="s">
        <v>186</v>
      </c>
      <c r="P34" s="3" t="s">
        <v>190</v>
      </c>
      <c r="Q34" s="4">
        <v>30</v>
      </c>
      <c r="R34" s="3" t="s">
        <v>36</v>
      </c>
      <c r="S34" s="4">
        <v>15</v>
      </c>
      <c r="T34" s="3" t="s">
        <v>36</v>
      </c>
      <c r="U34" s="4">
        <v>15</v>
      </c>
      <c r="V34" s="3" t="s">
        <v>37</v>
      </c>
      <c r="W34" s="4">
        <v>8</v>
      </c>
      <c r="X34" s="3" t="s">
        <v>36</v>
      </c>
      <c r="Y34" s="4">
        <v>10</v>
      </c>
      <c r="Z34" s="3" t="s">
        <v>36</v>
      </c>
      <c r="AA34" s="4">
        <v>10</v>
      </c>
      <c r="AB34" t="str">
        <f>_xlfn.TEXTJOIN(",",,"INSERT INTO assetList VALUES (",A34,B34,C34,E34,D34,F34,G34,H34,I34,J34,K34,M34,O34,P34,Q34,R34,S34,T34,U34,V34,W34,X34,Y34,Z34,AA34,")")</f>
        <v>INSERT INTO assetList VALUES (,100023,Hotel,Hotel Schweizerhof,8.53945,47.37697,4*,Bahnhofplatz,7,8001,Zürich,Switzerland,SingleStandard,2021-06-10 14:45:00.000000,2021-08-19 15:00:00.000000,30,true,15,true,15,false,8,true,10,true,10,)</v>
      </c>
    </row>
    <row r="35" spans="1:33" ht="17" customHeight="1" x14ac:dyDescent="0.2">
      <c r="A35" s="3">
        <v>100024</v>
      </c>
      <c r="B35" s="3" t="s">
        <v>27</v>
      </c>
      <c r="C35" s="3" t="s">
        <v>126</v>
      </c>
      <c r="D35" s="3" t="s">
        <v>128</v>
      </c>
      <c r="E35" s="3" t="s">
        <v>127</v>
      </c>
      <c r="F35" s="3" t="s">
        <v>124</v>
      </c>
      <c r="G35" s="3" t="s">
        <v>129</v>
      </c>
      <c r="H35" s="3">
        <v>10</v>
      </c>
      <c r="I35" s="3">
        <v>8001</v>
      </c>
      <c r="J35" s="3" t="s">
        <v>33</v>
      </c>
      <c r="K35" s="3" t="s">
        <v>34</v>
      </c>
      <c r="L35" s="3"/>
      <c r="M35" s="3" t="s">
        <v>35</v>
      </c>
      <c r="N35" s="3" t="s">
        <v>36</v>
      </c>
      <c r="O35" s="3" t="s">
        <v>187</v>
      </c>
      <c r="P35" s="3" t="s">
        <v>190</v>
      </c>
      <c r="Q35" s="4">
        <v>30</v>
      </c>
      <c r="R35" s="3" t="s">
        <v>36</v>
      </c>
      <c r="S35" s="4">
        <v>15</v>
      </c>
      <c r="T35" s="3" t="s">
        <v>36</v>
      </c>
      <c r="U35" s="4">
        <v>15</v>
      </c>
      <c r="V35" s="3" t="s">
        <v>37</v>
      </c>
      <c r="W35" s="4">
        <v>8</v>
      </c>
      <c r="X35" s="3" t="s">
        <v>36</v>
      </c>
      <c r="Y35" s="4">
        <v>10</v>
      </c>
      <c r="Z35" s="3" t="s">
        <v>36</v>
      </c>
      <c r="AA35" s="4">
        <v>10</v>
      </c>
      <c r="AB35" t="str">
        <f>_xlfn.TEXTJOIN(",",,"INSERT INTO assetList VALUES (",A35,B35,C35,E35,D35,F35,G35,H35,I35,J35,K35,M35,O35,P35,Q35,R35,S35,T35,U35,V35,W35,X35,Y35,Z35,AA35,")")</f>
        <v>INSERT INTO assetList VALUES (,100024,Hotel,Hotel Sorell St. Peter,8.54066,47.3708,4*,In Gassen,10,8001,Zürich,Switzerland,SingleStandard,2021-06-10 15:00:00.000000,2021-08-19 15:00:00.000000,30,true,15,true,15,false,8,true,10,true,10,)</v>
      </c>
    </row>
    <row r="36" spans="1:33" ht="17" customHeight="1" x14ac:dyDescent="0.2">
      <c r="A36" s="3">
        <v>100025</v>
      </c>
      <c r="B36" s="3" t="s">
        <v>27</v>
      </c>
      <c r="C36" s="3" t="s">
        <v>130</v>
      </c>
      <c r="D36" s="3" t="s">
        <v>132</v>
      </c>
      <c r="E36" s="3" t="s">
        <v>131</v>
      </c>
      <c r="F36" s="3" t="s">
        <v>124</v>
      </c>
      <c r="G36" s="3" t="s">
        <v>133</v>
      </c>
      <c r="H36" s="3">
        <v>1</v>
      </c>
      <c r="I36" s="3">
        <v>8001</v>
      </c>
      <c r="J36" s="3" t="s">
        <v>33</v>
      </c>
      <c r="K36" s="3" t="s">
        <v>34</v>
      </c>
      <c r="L36" s="3"/>
      <c r="M36" s="3" t="s">
        <v>53</v>
      </c>
      <c r="N36" s="3" t="s">
        <v>36</v>
      </c>
      <c r="O36" s="3" t="s">
        <v>187</v>
      </c>
      <c r="P36" s="3" t="s">
        <v>190</v>
      </c>
      <c r="Q36" s="4">
        <v>32</v>
      </c>
      <c r="R36" s="3" t="s">
        <v>36</v>
      </c>
      <c r="S36" s="4">
        <v>15</v>
      </c>
      <c r="T36" s="3" t="s">
        <v>36</v>
      </c>
      <c r="U36" s="4">
        <v>15</v>
      </c>
      <c r="V36" s="3" t="s">
        <v>37</v>
      </c>
      <c r="W36" s="4">
        <v>8</v>
      </c>
      <c r="X36" s="3" t="s">
        <v>36</v>
      </c>
      <c r="Y36" s="4">
        <v>10</v>
      </c>
      <c r="Z36" s="3" t="s">
        <v>36</v>
      </c>
      <c r="AA36" s="4">
        <v>10</v>
      </c>
      <c r="AB36" t="str">
        <f>_xlfn.TEXTJOIN(",",,"INSERT INTO assetList VALUES (",A36,B36,C36,E36,D36,F36,G36,H36,I36,J36,K36,M36,O36,P36,Q36,R36,S36,T36,U36,V36,W36,X36,Y36,Z36,AA36,")")</f>
        <v>INSERT INTO assetList VALUES (,100025,Hotel,Hotel Central Plaza,8.5436,47.37703,4*,Central,1,8001,Zürich,Switzerland,DoubleStandard,2021-06-10 15:00:00.000000,2021-08-19 15:00:00.000000,32,true,15,true,15,false,8,true,10,true,10,)</v>
      </c>
    </row>
    <row r="37" spans="1:33" ht="17" customHeight="1" x14ac:dyDescent="0.2">
      <c r="A37" s="3" t="s">
        <v>248</v>
      </c>
      <c r="B37" s="3" t="s">
        <v>27</v>
      </c>
      <c r="C37" s="3" t="s">
        <v>134</v>
      </c>
      <c r="D37" s="3" t="s">
        <v>48</v>
      </c>
      <c r="E37" s="3" t="s">
        <v>47</v>
      </c>
      <c r="F37" s="3" t="s">
        <v>124</v>
      </c>
      <c r="G37" s="3" t="s">
        <v>135</v>
      </c>
      <c r="H37" s="3">
        <v>1</v>
      </c>
      <c r="I37" s="3">
        <v>8006</v>
      </c>
      <c r="J37" s="3" t="s">
        <v>33</v>
      </c>
      <c r="K37" s="3" t="s">
        <v>34</v>
      </c>
      <c r="L37" s="3"/>
      <c r="M37" s="3" t="s">
        <v>35</v>
      </c>
      <c r="N37" s="3" t="s">
        <v>36</v>
      </c>
      <c r="O37" s="3" t="s">
        <v>187</v>
      </c>
      <c r="P37" s="3" t="s">
        <v>190</v>
      </c>
      <c r="Q37" s="4">
        <v>32</v>
      </c>
      <c r="R37" s="3" t="s">
        <v>36</v>
      </c>
      <c r="S37" s="4">
        <v>12</v>
      </c>
      <c r="T37" s="3" t="s">
        <v>36</v>
      </c>
      <c r="U37" s="4">
        <v>12</v>
      </c>
      <c r="V37" s="3" t="s">
        <v>37</v>
      </c>
      <c r="W37" s="4">
        <v>8</v>
      </c>
      <c r="X37" s="3" t="s">
        <v>36</v>
      </c>
      <c r="Y37" s="4">
        <v>10</v>
      </c>
      <c r="Z37" s="3" t="s">
        <v>36</v>
      </c>
      <c r="AA37" s="4">
        <v>10</v>
      </c>
      <c r="AB37" t="str">
        <f>_xlfn.TEXTJOIN(",",,"INSERT INTO assetList VALUES (",A37,B37,C37,E37,D37,F37,G37,H37,I37,J37,K37,M37,O37,P37,Q37,R37,S37,T37,U37,V37,W37,X37,Y37,Z37,AA37,")")</f>
        <v>INSERT INTO assetList VALUES (,100026.1,Hotel,Hotel EMA House Suites,8.54449,47.37616,4*,Nordstrasse,1,8006,Zürich,Switzerland,SingleStandard,2021-06-10 15:00:00.000000,2021-08-19 15:00:00.000000,32,true,12,true,12,false,8,true,10,true,10,)</v>
      </c>
    </row>
    <row r="38" spans="1:33" ht="17" customHeight="1" x14ac:dyDescent="0.2">
      <c r="A38" s="3" t="s">
        <v>249</v>
      </c>
      <c r="B38" s="3" t="s">
        <v>27</v>
      </c>
      <c r="C38" s="3" t="s">
        <v>134</v>
      </c>
      <c r="D38" s="3" t="s">
        <v>48</v>
      </c>
      <c r="E38" s="3" t="s">
        <v>47</v>
      </c>
      <c r="F38" s="3" t="s">
        <v>124</v>
      </c>
      <c r="G38" s="3" t="s">
        <v>135</v>
      </c>
      <c r="H38" s="3">
        <v>1</v>
      </c>
      <c r="I38" s="3">
        <v>8006</v>
      </c>
      <c r="J38" s="3" t="s">
        <v>33</v>
      </c>
      <c r="K38" s="3" t="s">
        <v>34</v>
      </c>
      <c r="L38" s="3"/>
      <c r="M38" s="3" t="s">
        <v>53</v>
      </c>
      <c r="N38" s="3" t="s">
        <v>36</v>
      </c>
      <c r="O38" s="3" t="s">
        <v>187</v>
      </c>
      <c r="P38" s="3" t="s">
        <v>190</v>
      </c>
      <c r="Q38" s="4">
        <v>34</v>
      </c>
      <c r="R38" s="3" t="s">
        <v>36</v>
      </c>
      <c r="S38" s="4">
        <v>15</v>
      </c>
      <c r="T38" s="3" t="s">
        <v>36</v>
      </c>
      <c r="U38" s="4">
        <v>15</v>
      </c>
      <c r="V38" s="3" t="s">
        <v>37</v>
      </c>
      <c r="W38" s="4">
        <v>8</v>
      </c>
      <c r="X38" s="3" t="s">
        <v>36</v>
      </c>
      <c r="Y38" s="4">
        <v>10</v>
      </c>
      <c r="Z38" s="3" t="s">
        <v>36</v>
      </c>
      <c r="AA38" s="4">
        <v>10</v>
      </c>
      <c r="AB38" t="str">
        <f>_xlfn.TEXTJOIN(",",,"INSERT INTO assetList VALUES (",A38,B38,C38,E38,D38,F38,G38,H38,I38,J38,K38,M38,O38,P38,Q38,R38,S38,T38,U38,V38,W38,X38,Y38,Z38,AA38,")")</f>
        <v>INSERT INTO assetList VALUES (,100026.2,Hotel,Hotel EMA House Suites,8.54449,47.37616,4*,Nordstrasse,1,8006,Zürich,Switzerland,DoubleStandard,2021-06-10 15:00:00.000000,2021-08-19 15:00:00.000000,34,true,15,true,15,false,8,true,10,true,10,)</v>
      </c>
    </row>
    <row r="39" spans="1:33" ht="17" customHeight="1" x14ac:dyDescent="0.2">
      <c r="A39" s="3">
        <v>100027</v>
      </c>
      <c r="B39" s="3" t="s">
        <v>27</v>
      </c>
      <c r="C39" s="3" t="s">
        <v>136</v>
      </c>
      <c r="D39" s="3" t="s">
        <v>138</v>
      </c>
      <c r="E39" s="3" t="s">
        <v>137</v>
      </c>
      <c r="F39" s="3" t="s">
        <v>118</v>
      </c>
      <c r="G39" s="3" t="s">
        <v>139</v>
      </c>
      <c r="H39" s="3">
        <v>2</v>
      </c>
      <c r="I39" s="3">
        <v>8001</v>
      </c>
      <c r="J39" s="3" t="s">
        <v>33</v>
      </c>
      <c r="K39" s="3" t="s">
        <v>34</v>
      </c>
      <c r="L39" s="3"/>
      <c r="M39" s="3" t="s">
        <v>53</v>
      </c>
      <c r="N39" s="3" t="s">
        <v>36</v>
      </c>
      <c r="O39" s="3" t="s">
        <v>187</v>
      </c>
      <c r="P39" s="3" t="s">
        <v>190</v>
      </c>
      <c r="Q39" s="4">
        <v>32</v>
      </c>
      <c r="R39" s="3" t="s">
        <v>36</v>
      </c>
      <c r="S39" s="4">
        <v>15</v>
      </c>
      <c r="T39" s="3" t="s">
        <v>36</v>
      </c>
      <c r="U39" s="4">
        <v>15</v>
      </c>
      <c r="V39" s="3" t="s">
        <v>37</v>
      </c>
      <c r="W39" s="4">
        <v>8</v>
      </c>
      <c r="X39" s="3" t="s">
        <v>36</v>
      </c>
      <c r="Y39" s="4">
        <v>10</v>
      </c>
      <c r="Z39" s="3" t="s">
        <v>36</v>
      </c>
      <c r="AA39" s="4">
        <v>10</v>
      </c>
      <c r="AB39" t="str">
        <f>_xlfn.TEXTJOIN(",",,"INSERT INTO assetList VALUES (",A39,B39,C39,E39,D39,F39,G39,H39,I39,J39,K39,M39,O39,P39,Q39,R39,S39,T39,U39,V39,W39,X39,Y39,Z39,AA39,")")</f>
        <v>INSERT INTO assetList VALUES (,100027,Hotel,Hotel Storchen,8.54169,47.3718,5*,Weinplatz,2,8001,Zürich,Switzerland,DoubleStandard,2021-06-10 15:00:00.000000,2021-08-19 15:00:00.000000,32,true,15,true,15,false,8,true,10,true,10,)</v>
      </c>
    </row>
    <row r="40" spans="1:33" ht="17" customHeight="1" x14ac:dyDescent="0.2">
      <c r="A40" s="3">
        <v>100028</v>
      </c>
      <c r="B40" s="3" t="s">
        <v>27</v>
      </c>
      <c r="C40" s="3" t="s">
        <v>140</v>
      </c>
      <c r="D40" s="3" t="s">
        <v>68</v>
      </c>
      <c r="E40" s="3" t="s">
        <v>141</v>
      </c>
      <c r="F40" s="3" t="s">
        <v>124</v>
      </c>
      <c r="G40" s="3" t="s">
        <v>142</v>
      </c>
      <c r="H40" s="3">
        <v>31</v>
      </c>
      <c r="I40" s="3">
        <v>8001</v>
      </c>
      <c r="J40" s="3" t="s">
        <v>33</v>
      </c>
      <c r="K40" s="3" t="s">
        <v>34</v>
      </c>
      <c r="L40" s="3"/>
      <c r="M40" s="3" t="s">
        <v>143</v>
      </c>
      <c r="N40" s="3" t="s">
        <v>36</v>
      </c>
      <c r="O40" s="3" t="s">
        <v>187</v>
      </c>
      <c r="P40" s="3" t="s">
        <v>190</v>
      </c>
      <c r="Q40" s="4">
        <v>34</v>
      </c>
      <c r="R40" s="3" t="s">
        <v>36</v>
      </c>
      <c r="S40" s="4">
        <v>15</v>
      </c>
      <c r="T40" s="3" t="s">
        <v>36</v>
      </c>
      <c r="U40" s="4">
        <v>15</v>
      </c>
      <c r="V40" s="3" t="s">
        <v>37</v>
      </c>
      <c r="W40" s="4">
        <v>8</v>
      </c>
      <c r="X40" s="3" t="s">
        <v>36</v>
      </c>
      <c r="Y40" s="4">
        <v>10</v>
      </c>
      <c r="Z40" s="3" t="s">
        <v>36</v>
      </c>
      <c r="AA40" s="4">
        <v>10</v>
      </c>
      <c r="AB40" t="str">
        <f>_xlfn.TEXTJOIN(",",,"INSERT INTO assetList VALUES (",A40,B40,C40,E40,D40,F40,G40,H40,I40,J40,K40,M40,O40,P40,Q40,R40,S40,T40,U40,V40,W40,X40,Y40,Z40,AA40,")")</f>
        <v>INSERT INTO assetList VALUES (,100028,Hotel,Hotel Glockenhof Zürich,8.53685,47.37319,4*,Sihlstrasse,31,8001,Zürich,Switzerland,DoubleSuperior,2021-06-10 15:00:00.000000,2021-08-19 15:00:00.000000,34,true,15,true,15,false,8,true,10,true,10,)</v>
      </c>
    </row>
    <row r="41" spans="1:33" ht="17" customHeight="1" x14ac:dyDescent="0.2">
      <c r="A41" s="3">
        <v>100029</v>
      </c>
      <c r="B41" s="3" t="s">
        <v>27</v>
      </c>
      <c r="C41" s="3" t="s">
        <v>144</v>
      </c>
      <c r="D41" s="3" t="s">
        <v>146</v>
      </c>
      <c r="E41" s="3" t="s">
        <v>145</v>
      </c>
      <c r="F41" s="3" t="s">
        <v>124</v>
      </c>
      <c r="G41" s="3" t="s">
        <v>41</v>
      </c>
      <c r="H41" s="3">
        <v>10</v>
      </c>
      <c r="I41" s="3">
        <v>8001</v>
      </c>
      <c r="J41" s="3" t="s">
        <v>33</v>
      </c>
      <c r="K41" s="3" t="s">
        <v>34</v>
      </c>
      <c r="L41" s="3"/>
      <c r="M41" s="3" t="s">
        <v>143</v>
      </c>
      <c r="N41" s="3" t="s">
        <v>36</v>
      </c>
      <c r="O41" s="3" t="s">
        <v>188</v>
      </c>
      <c r="P41" s="3" t="s">
        <v>190</v>
      </c>
      <c r="Q41" s="4">
        <v>34</v>
      </c>
      <c r="R41" s="3" t="s">
        <v>36</v>
      </c>
      <c r="S41" s="4">
        <v>15</v>
      </c>
      <c r="T41" s="3" t="s">
        <v>36</v>
      </c>
      <c r="U41" s="4">
        <v>15</v>
      </c>
      <c r="V41" s="3" t="s">
        <v>37</v>
      </c>
      <c r="W41" s="4">
        <v>8</v>
      </c>
      <c r="X41" s="3" t="s">
        <v>36</v>
      </c>
      <c r="Y41" s="4">
        <v>10</v>
      </c>
      <c r="Z41" s="3" t="s">
        <v>36</v>
      </c>
      <c r="AA41" s="4">
        <v>10</v>
      </c>
      <c r="AB41" t="str">
        <f>_xlfn.TEXTJOIN(",",,"INSERT INTO assetList VALUES (",A41,B41,C41,E41,D41,F41,G41,H41,I41,J41,K41,M41,O41,P41,Q41,R41,S41,T41,U41,V41,W41,X41,Y41,Z41,AA41,")")</f>
        <v>INSERT INTO assetList VALUES (,100029,Hotel,Hotel Wellenberg,8.54393,47.37306,4*,Niederdorfstrasse,10,8001,Zürich,Switzerland,DoubleSuperior,2021-06-10 16:00:00.000000,2021-08-19 15:00:00.000000,34,true,15,true,15,false,8,true,10,true,10,)</v>
      </c>
    </row>
    <row r="42" spans="1:33" ht="17" customHeight="1" x14ac:dyDescent="0.2">
      <c r="A42" s="3">
        <v>100030</v>
      </c>
      <c r="B42" s="3" t="s">
        <v>27</v>
      </c>
      <c r="C42" s="3" t="s">
        <v>147</v>
      </c>
      <c r="D42" s="3" t="s">
        <v>149</v>
      </c>
      <c r="E42" s="3" t="s">
        <v>148</v>
      </c>
      <c r="F42" s="3" t="s">
        <v>124</v>
      </c>
      <c r="G42" s="3" t="s">
        <v>102</v>
      </c>
      <c r="H42" s="3">
        <v>30</v>
      </c>
      <c r="I42" s="3">
        <v>8001</v>
      </c>
      <c r="J42" s="3" t="s">
        <v>33</v>
      </c>
      <c r="K42" s="3" t="s">
        <v>34</v>
      </c>
      <c r="L42" s="3"/>
      <c r="M42" s="3" t="s">
        <v>103</v>
      </c>
      <c r="N42" s="3" t="s">
        <v>36</v>
      </c>
      <c r="O42" s="3" t="s">
        <v>188</v>
      </c>
      <c r="P42" s="3" t="s">
        <v>190</v>
      </c>
      <c r="Q42" s="4">
        <v>36</v>
      </c>
      <c r="R42" s="3" t="s">
        <v>36</v>
      </c>
      <c r="S42" s="4">
        <v>15</v>
      </c>
      <c r="T42" s="3" t="s">
        <v>36</v>
      </c>
      <c r="U42" s="4">
        <v>15</v>
      </c>
      <c r="V42" s="3" t="s">
        <v>37</v>
      </c>
      <c r="W42" s="4">
        <v>8</v>
      </c>
      <c r="X42" s="3" t="s">
        <v>36</v>
      </c>
      <c r="Y42" s="4">
        <v>10</v>
      </c>
      <c r="Z42" s="3" t="s">
        <v>36</v>
      </c>
      <c r="AA42" s="4">
        <v>10</v>
      </c>
      <c r="AB42" t="str">
        <f>_xlfn.TEXTJOIN(",",,"INSERT INTO assetList VALUES (",A42,B42,C42,E42,D42,F42,G42,H42,I42,J42,K42,M42,O42,P42,Q42,R42,S42,T42,U42,V42,W42,X42,Y42,Z42,AA42,")")</f>
        <v>INSERT INTO assetList VALUES (,100030,Hotel,Hotel Helmhaus,8.54406,47.36914,4*,Schifflände,30,8001,Zürich,Switzerland,DoubleBusiness,2021-06-10 16:00:00.000000,2021-08-19 15:00:00.000000,36,true,15,true,15,false,8,true,10,true,10,)</v>
      </c>
    </row>
    <row r="43" spans="1:33" ht="17" customHeight="1" x14ac:dyDescent="0.2">
      <c r="A43" s="3">
        <v>100031</v>
      </c>
      <c r="B43" s="3" t="s">
        <v>27</v>
      </c>
      <c r="C43" s="3" t="s">
        <v>150</v>
      </c>
      <c r="D43" s="3" t="s">
        <v>152</v>
      </c>
      <c r="E43" s="3" t="s">
        <v>151</v>
      </c>
      <c r="F43" s="3" t="s">
        <v>124</v>
      </c>
      <c r="G43" s="3" t="s">
        <v>153</v>
      </c>
      <c r="H43" s="3">
        <v>87</v>
      </c>
      <c r="I43" s="3">
        <v>8001</v>
      </c>
      <c r="J43" s="3" t="s">
        <v>33</v>
      </c>
      <c r="K43" s="3" t="s">
        <v>34</v>
      </c>
      <c r="L43" s="3"/>
      <c r="M43" s="3" t="s">
        <v>103</v>
      </c>
      <c r="N43" s="3" t="s">
        <v>36</v>
      </c>
      <c r="O43" s="3" t="s">
        <v>188</v>
      </c>
      <c r="P43" s="3" t="s">
        <v>190</v>
      </c>
      <c r="Q43" s="4">
        <v>36</v>
      </c>
      <c r="R43" s="3" t="s">
        <v>36</v>
      </c>
      <c r="S43" s="4">
        <v>15</v>
      </c>
      <c r="T43" s="3" t="s">
        <v>36</v>
      </c>
      <c r="U43" s="4">
        <v>15</v>
      </c>
      <c r="V43" s="3" t="s">
        <v>37</v>
      </c>
      <c r="W43" s="4">
        <v>8</v>
      </c>
      <c r="X43" s="3" t="s">
        <v>36</v>
      </c>
      <c r="Y43" s="4">
        <v>10</v>
      </c>
      <c r="Z43" s="3" t="s">
        <v>36</v>
      </c>
      <c r="AA43" s="4">
        <v>10</v>
      </c>
      <c r="AB43" t="str">
        <f>_xlfn.TEXTJOIN(",",,"INSERT INTO assetList VALUES (",A43,B43,C43,E43,D43,F43,G43,H43,I43,J43,K43,M43,O43,P43,Q43,R43,S43,T43,U43,V43,W43,X43,Y43,Z43,AA43,")")</f>
        <v>INSERT INTO assetList VALUES (,100031,Hotel,Hotel St. Gothard,8.53939,47.37641,4*,Bahnhofstrasse,87,8001,Zürich,Switzerland,DoubleBusiness,2021-06-10 16:00:00.000000,2021-08-19 15:00:00.000000,36,true,15,true,15,false,8,true,10,true,10,)</v>
      </c>
    </row>
    <row r="44" spans="1:33" ht="17" customHeight="1" x14ac:dyDescent="0.2">
      <c r="A44" s="3">
        <v>100032</v>
      </c>
      <c r="B44" s="3" t="s">
        <v>27</v>
      </c>
      <c r="C44" s="3" t="s">
        <v>154</v>
      </c>
      <c r="D44" s="3" t="s">
        <v>156</v>
      </c>
      <c r="E44" s="3" t="s">
        <v>155</v>
      </c>
      <c r="F44" s="3" t="s">
        <v>118</v>
      </c>
      <c r="G44" s="3" t="s">
        <v>157</v>
      </c>
      <c r="H44" s="3">
        <v>7</v>
      </c>
      <c r="I44" s="3">
        <v>8001</v>
      </c>
      <c r="J44" s="3" t="s">
        <v>33</v>
      </c>
      <c r="K44" s="3" t="s">
        <v>34</v>
      </c>
      <c r="L44" s="3"/>
      <c r="M44" s="3" t="s">
        <v>143</v>
      </c>
      <c r="N44" s="3" t="s">
        <v>36</v>
      </c>
      <c r="O44" s="3" t="s">
        <v>188</v>
      </c>
      <c r="P44" s="3" t="s">
        <v>190</v>
      </c>
      <c r="Q44" s="4">
        <v>36</v>
      </c>
      <c r="R44" s="3" t="s">
        <v>36</v>
      </c>
      <c r="S44" s="4">
        <v>15</v>
      </c>
      <c r="T44" s="3" t="s">
        <v>36</v>
      </c>
      <c r="U44" s="4">
        <v>15</v>
      </c>
      <c r="V44" s="3" t="s">
        <v>37</v>
      </c>
      <c r="W44" s="4">
        <v>8</v>
      </c>
      <c r="X44" s="3" t="s">
        <v>36</v>
      </c>
      <c r="Y44" s="4">
        <v>10</v>
      </c>
      <c r="Z44" s="3" t="s">
        <v>36</v>
      </c>
      <c r="AA44" s="4">
        <v>10</v>
      </c>
      <c r="AB44" t="str">
        <f>_xlfn.TEXTJOIN(",",,"INSERT INTO assetList VALUES (",A44,B44,C44,E44,D44,F44,G44,H44,I44,J44,K44,M44,O44,P44,Q44,R44,S44,T44,U44,V44,W44,X44,Y44,Z44,AA44,")")</f>
        <v>INSERT INTO assetList VALUES (,100032,Hotel,Hotel Widder,8.53986,47.37253,5*,Rennweg,7,8001,Zürich,Switzerland,DoubleSuperior,2021-06-10 16:00:00.000000,2021-08-19 15:00:00.000000,36,true,15,true,15,false,8,true,10,true,10,)</v>
      </c>
    </row>
    <row r="45" spans="1:33" ht="17" customHeight="1" x14ac:dyDescent="0.2">
      <c r="A45" s="3">
        <v>100033</v>
      </c>
      <c r="B45" s="3" t="s">
        <v>27</v>
      </c>
      <c r="C45" s="3" t="s">
        <v>158</v>
      </c>
      <c r="D45" s="3" t="s">
        <v>159</v>
      </c>
      <c r="E45" s="3" t="s">
        <v>39</v>
      </c>
      <c r="F45" s="3" t="s">
        <v>124</v>
      </c>
      <c r="G45" s="3" t="s">
        <v>160</v>
      </c>
      <c r="H45" s="3">
        <v>17</v>
      </c>
      <c r="I45" s="3">
        <v>8001</v>
      </c>
      <c r="J45" s="3" t="s">
        <v>33</v>
      </c>
      <c r="K45" s="3" t="s">
        <v>34</v>
      </c>
      <c r="L45" s="3"/>
      <c r="M45" s="3" t="s">
        <v>161</v>
      </c>
      <c r="N45" s="3" t="s">
        <v>36</v>
      </c>
      <c r="O45" s="3" t="s">
        <v>188</v>
      </c>
      <c r="P45" s="3" t="s">
        <v>190</v>
      </c>
      <c r="Q45" s="4">
        <v>40</v>
      </c>
      <c r="R45" s="3" t="s">
        <v>36</v>
      </c>
      <c r="S45" s="4">
        <v>15</v>
      </c>
      <c r="T45" s="3" t="s">
        <v>36</v>
      </c>
      <c r="U45" s="4">
        <v>15</v>
      </c>
      <c r="V45" s="3" t="s">
        <v>36</v>
      </c>
      <c r="W45" s="4">
        <v>8</v>
      </c>
      <c r="X45" s="3" t="s">
        <v>36</v>
      </c>
      <c r="Y45" s="4">
        <v>10</v>
      </c>
      <c r="Z45" s="3" t="s">
        <v>36</v>
      </c>
      <c r="AA45" s="4">
        <v>10</v>
      </c>
      <c r="AB45" t="str">
        <f>_xlfn.TEXTJOIN(",",,"INSERT INTO assetList VALUES (",A45,B45,C45,E45,D45,F45,G45,H45,I45,J45,K45,M45,O45,P45,Q45,R45,S45,T45,U45,V45,W45,X45,Y45,Z45,AA45,")")</f>
        <v>INSERT INTO assetList VALUES (,100033,Hotel,Hotel Marktgasse,8.54368,47.37201,4*,Marktgasse,17,8001,Zürich,Switzerland,JuniorSuite,2021-06-10 16:00:00.000000,2021-08-19 15:00:00.000000,40,true,15,true,15,true,8,true,10,true,10,)</v>
      </c>
    </row>
    <row r="46" spans="1:33" ht="17" customHeight="1" x14ac:dyDescent="0.2">
      <c r="A46" s="3">
        <v>100034</v>
      </c>
      <c r="B46" s="3" t="s">
        <v>27</v>
      </c>
      <c r="C46" s="3" t="s">
        <v>162</v>
      </c>
      <c r="D46" s="3" t="s">
        <v>163</v>
      </c>
      <c r="E46" s="3" t="s">
        <v>127</v>
      </c>
      <c r="F46" s="3" t="s">
        <v>118</v>
      </c>
      <c r="G46" s="3" t="s">
        <v>164</v>
      </c>
      <c r="H46" s="3">
        <v>42</v>
      </c>
      <c r="I46" s="3">
        <v>8006</v>
      </c>
      <c r="J46" s="3" t="s">
        <v>33</v>
      </c>
      <c r="K46" s="3" t="s">
        <v>34</v>
      </c>
      <c r="L46" s="3"/>
      <c r="M46" s="3" t="s">
        <v>161</v>
      </c>
      <c r="N46" s="3" t="s">
        <v>36</v>
      </c>
      <c r="O46" s="3" t="s">
        <v>188</v>
      </c>
      <c r="P46" s="3" t="s">
        <v>190</v>
      </c>
      <c r="Q46" s="4">
        <v>40</v>
      </c>
      <c r="R46" s="3" t="s">
        <v>36</v>
      </c>
      <c r="S46" s="4">
        <v>15</v>
      </c>
      <c r="T46" s="3" t="s">
        <v>36</v>
      </c>
      <c r="U46" s="4">
        <v>15</v>
      </c>
      <c r="V46" s="3" t="s">
        <v>36</v>
      </c>
      <c r="W46" s="4">
        <v>8</v>
      </c>
      <c r="X46" s="3" t="s">
        <v>36</v>
      </c>
      <c r="Y46" s="4">
        <v>10</v>
      </c>
      <c r="Z46" s="3" t="s">
        <v>36</v>
      </c>
      <c r="AA46" s="4">
        <v>10</v>
      </c>
      <c r="AB46" t="str">
        <f>_xlfn.TEXTJOIN(",",,"INSERT INTO assetList VALUES (",A46,B46,C46,E46,D46,F46,G46,H46,I46,J46,K46,M46,O46,P46,Q46,R46,S46,T46,U46,V46,W46,X46,Y46,Z46,AA46,")")</f>
        <v>INSERT INTO assetList VALUES (,100034,Hotel,Hotel Marriott Zürich,8.54066,47.38254,5*,Neumühlequai,42,8006,Zürich,Switzerland,JuniorSuite,2021-06-10 16:00:00.000000,2021-08-19 15:00:00.000000,40,true,15,true,15,true,8,true,10,true,10,)</v>
      </c>
    </row>
    <row r="47" spans="1:33" ht="17" customHeight="1" x14ac:dyDescent="0.2">
      <c r="A47" s="3" t="s">
        <v>203</v>
      </c>
      <c r="B47" s="3" t="s">
        <v>27</v>
      </c>
      <c r="C47" s="3" t="s">
        <v>202</v>
      </c>
      <c r="D47" s="3">
        <v>47.421420500000004</v>
      </c>
      <c r="E47" s="3">
        <v>9.3731755999999997</v>
      </c>
      <c r="F47" s="3" t="s">
        <v>124</v>
      </c>
      <c r="G47" s="3" t="s">
        <v>204</v>
      </c>
      <c r="H47" s="3">
        <v>2</v>
      </c>
      <c r="I47" s="3">
        <v>9000</v>
      </c>
      <c r="J47" s="3" t="s">
        <v>205</v>
      </c>
      <c r="K47" s="3" t="s">
        <v>34</v>
      </c>
      <c r="M47" s="3" t="s">
        <v>161</v>
      </c>
      <c r="N47" s="3" t="s">
        <v>36</v>
      </c>
      <c r="O47" s="3" t="s">
        <v>188</v>
      </c>
      <c r="P47" s="3" t="s">
        <v>190</v>
      </c>
      <c r="Q47" s="6">
        <v>50</v>
      </c>
      <c r="R47" s="7" t="s">
        <v>36</v>
      </c>
      <c r="S47" s="6">
        <v>15</v>
      </c>
      <c r="T47" s="7" t="s">
        <v>36</v>
      </c>
      <c r="U47" s="6">
        <v>15</v>
      </c>
      <c r="V47" s="7" t="s">
        <v>36</v>
      </c>
      <c r="W47" s="6">
        <v>8</v>
      </c>
      <c r="X47" s="7" t="s">
        <v>36</v>
      </c>
      <c r="Y47" s="6">
        <v>10</v>
      </c>
      <c r="Z47" s="7" t="s">
        <v>36</v>
      </c>
      <c r="AA47" s="6">
        <v>10</v>
      </c>
      <c r="AB47" s="8" t="s">
        <v>206</v>
      </c>
      <c r="AC47" s="8"/>
      <c r="AD47" s="8"/>
      <c r="AE47" s="8"/>
      <c r="AF47" s="8"/>
      <c r="AG47" s="8"/>
    </row>
    <row r="48" spans="1:33" ht="17" customHeight="1" x14ac:dyDescent="0.2">
      <c r="A48" s="3" t="s">
        <v>208</v>
      </c>
      <c r="B48" s="3" t="s">
        <v>27</v>
      </c>
      <c r="C48" s="3" t="s">
        <v>207</v>
      </c>
      <c r="D48" s="3" t="s">
        <v>211</v>
      </c>
      <c r="E48" s="3" t="s">
        <v>212</v>
      </c>
      <c r="F48" s="3" t="s">
        <v>124</v>
      </c>
      <c r="G48" s="3" t="s">
        <v>209</v>
      </c>
      <c r="H48" s="3" t="s">
        <v>210</v>
      </c>
      <c r="I48" s="3">
        <v>9000</v>
      </c>
      <c r="J48" s="3" t="s">
        <v>205</v>
      </c>
      <c r="K48" s="3" t="s">
        <v>34</v>
      </c>
      <c r="M48" s="3" t="s">
        <v>161</v>
      </c>
      <c r="N48" s="3" t="s">
        <v>36</v>
      </c>
      <c r="O48" s="3" t="s">
        <v>188</v>
      </c>
      <c r="P48" s="3" t="s">
        <v>190</v>
      </c>
      <c r="Q48" s="6">
        <v>50</v>
      </c>
      <c r="R48" s="7" t="s">
        <v>36</v>
      </c>
      <c r="S48" s="6">
        <v>15</v>
      </c>
      <c r="T48" s="7" t="s">
        <v>36</v>
      </c>
      <c r="U48" s="6">
        <v>15</v>
      </c>
      <c r="V48" s="7" t="s">
        <v>36</v>
      </c>
      <c r="W48" s="6">
        <v>8</v>
      </c>
      <c r="X48" s="7" t="s">
        <v>36</v>
      </c>
      <c r="Y48" s="6">
        <v>10</v>
      </c>
      <c r="Z48" s="7" t="s">
        <v>36</v>
      </c>
      <c r="AA48" s="6">
        <v>10</v>
      </c>
      <c r="AB48" s="8" t="s">
        <v>206</v>
      </c>
      <c r="AC48" s="8"/>
      <c r="AD48" s="8"/>
      <c r="AE48" s="8"/>
      <c r="AF48" s="8"/>
      <c r="AG48" s="8"/>
    </row>
    <row r="49" spans="1:33" ht="17" customHeight="1" x14ac:dyDescent="0.2">
      <c r="A49" s="3" t="s">
        <v>213</v>
      </c>
      <c r="B49" s="3" t="s">
        <v>27</v>
      </c>
      <c r="C49" s="3" t="s">
        <v>250</v>
      </c>
      <c r="D49" s="3" t="s">
        <v>211</v>
      </c>
      <c r="E49" s="3" t="s">
        <v>214</v>
      </c>
      <c r="F49" s="3" t="s">
        <v>31</v>
      </c>
      <c r="G49" s="3" t="s">
        <v>215</v>
      </c>
      <c r="H49" s="3" t="s">
        <v>216</v>
      </c>
      <c r="I49" s="3">
        <v>9000</v>
      </c>
      <c r="J49" s="3" t="s">
        <v>205</v>
      </c>
      <c r="K49" s="3" t="s">
        <v>34</v>
      </c>
      <c r="M49" s="3" t="s">
        <v>53</v>
      </c>
      <c r="N49" s="3" t="s">
        <v>36</v>
      </c>
      <c r="O49" s="3" t="s">
        <v>188</v>
      </c>
      <c r="P49" s="3" t="s">
        <v>190</v>
      </c>
      <c r="Q49" s="6">
        <v>35</v>
      </c>
      <c r="R49" s="7" t="s">
        <v>36</v>
      </c>
      <c r="S49" s="6">
        <v>10</v>
      </c>
      <c r="T49" s="7" t="s">
        <v>36</v>
      </c>
      <c r="U49" s="6">
        <v>10</v>
      </c>
      <c r="V49" s="7" t="s">
        <v>36</v>
      </c>
      <c r="W49" s="6">
        <v>8</v>
      </c>
      <c r="X49" s="7" t="s">
        <v>36</v>
      </c>
      <c r="Y49" s="6">
        <v>8</v>
      </c>
      <c r="Z49" s="7" t="s">
        <v>36</v>
      </c>
      <c r="AA49" s="6">
        <v>8</v>
      </c>
      <c r="AB49" s="8" t="s">
        <v>206</v>
      </c>
      <c r="AC49" s="8"/>
      <c r="AD49" s="8"/>
      <c r="AE49" s="8"/>
      <c r="AF49" s="8"/>
      <c r="AG49" s="8"/>
    </row>
    <row r="50" spans="1:33" ht="17" customHeight="1" x14ac:dyDescent="0.2">
      <c r="A50" s="3" t="s">
        <v>218</v>
      </c>
      <c r="B50" s="3" t="s">
        <v>27</v>
      </c>
      <c r="C50" t="s">
        <v>217</v>
      </c>
      <c r="D50" s="3" t="s">
        <v>219</v>
      </c>
      <c r="E50" s="3" t="s">
        <v>220</v>
      </c>
      <c r="F50" s="3" t="s">
        <v>118</v>
      </c>
      <c r="G50" t="s">
        <v>222</v>
      </c>
      <c r="H50" s="3" t="s">
        <v>120</v>
      </c>
      <c r="I50" s="3" t="s">
        <v>223</v>
      </c>
      <c r="J50" s="3" t="s">
        <v>221</v>
      </c>
      <c r="K50" s="3" t="s">
        <v>34</v>
      </c>
      <c r="M50" s="3" t="s">
        <v>35</v>
      </c>
      <c r="N50" s="3" t="s">
        <v>36</v>
      </c>
      <c r="O50" s="3" t="s">
        <v>188</v>
      </c>
      <c r="P50" s="3" t="s">
        <v>190</v>
      </c>
      <c r="Q50" s="6">
        <v>60</v>
      </c>
      <c r="R50" s="7" t="s">
        <v>36</v>
      </c>
      <c r="S50" s="6">
        <v>20</v>
      </c>
      <c r="T50" s="7" t="s">
        <v>36</v>
      </c>
      <c r="U50" s="6">
        <v>20</v>
      </c>
      <c r="V50" s="7" t="s">
        <v>36</v>
      </c>
      <c r="W50" s="6">
        <v>12</v>
      </c>
      <c r="X50" s="7" t="s">
        <v>36</v>
      </c>
      <c r="Y50" s="6">
        <v>12</v>
      </c>
      <c r="Z50" s="7" t="s">
        <v>36</v>
      </c>
      <c r="AA50" s="6">
        <v>10</v>
      </c>
      <c r="AB50" s="8" t="s">
        <v>206</v>
      </c>
      <c r="AC50" s="8"/>
      <c r="AD50" s="8"/>
      <c r="AE50" s="8"/>
      <c r="AF50" s="8"/>
      <c r="AG50" s="8"/>
    </row>
    <row r="51" spans="1:33" ht="17" customHeight="1" x14ac:dyDescent="0.2">
      <c r="A51" s="3" t="s">
        <v>237</v>
      </c>
      <c r="B51" s="3" t="s">
        <v>27</v>
      </c>
      <c r="C51" t="s">
        <v>224</v>
      </c>
      <c r="D51" s="3" t="s">
        <v>219</v>
      </c>
      <c r="E51" s="3" t="s">
        <v>220</v>
      </c>
      <c r="F51" s="3" t="s">
        <v>124</v>
      </c>
      <c r="G51" t="s">
        <v>225</v>
      </c>
      <c r="H51" s="3" t="s">
        <v>226</v>
      </c>
      <c r="I51" s="3" t="s">
        <v>223</v>
      </c>
      <c r="J51" s="3" t="s">
        <v>221</v>
      </c>
      <c r="K51" s="3" t="s">
        <v>34</v>
      </c>
      <c r="M51" s="3" t="s">
        <v>35</v>
      </c>
      <c r="N51" s="3" t="s">
        <v>36</v>
      </c>
      <c r="O51" s="3" t="s">
        <v>188</v>
      </c>
      <c r="P51" s="3" t="s">
        <v>190</v>
      </c>
      <c r="Q51" s="6">
        <v>40</v>
      </c>
      <c r="R51" s="7" t="s">
        <v>36</v>
      </c>
      <c r="S51" s="6">
        <v>15</v>
      </c>
      <c r="T51" s="7" t="s">
        <v>36</v>
      </c>
      <c r="U51" s="6">
        <v>10</v>
      </c>
      <c r="V51" s="7" t="s">
        <v>36</v>
      </c>
      <c r="W51" s="6">
        <v>10</v>
      </c>
      <c r="X51" s="7" t="s">
        <v>36</v>
      </c>
      <c r="Y51" s="6">
        <v>10</v>
      </c>
      <c r="Z51" s="7" t="s">
        <v>36</v>
      </c>
      <c r="AA51" s="6">
        <v>10</v>
      </c>
      <c r="AB51" s="8" t="s">
        <v>206</v>
      </c>
      <c r="AC51" s="8"/>
      <c r="AD51" s="8"/>
      <c r="AE51" s="8"/>
      <c r="AF51" s="8"/>
      <c r="AG51" s="8"/>
    </row>
    <row r="52" spans="1:33" ht="17" customHeight="1" x14ac:dyDescent="0.2">
      <c r="A52" s="3" t="s">
        <v>228</v>
      </c>
      <c r="B52" s="3" t="s">
        <v>27</v>
      </c>
      <c r="C52" t="s">
        <v>227</v>
      </c>
      <c r="D52" s="3" t="s">
        <v>239</v>
      </c>
      <c r="E52" s="3" t="s">
        <v>240</v>
      </c>
      <c r="F52" s="3" t="s">
        <v>118</v>
      </c>
      <c r="G52" t="s">
        <v>230</v>
      </c>
      <c r="H52" s="3" t="s">
        <v>231</v>
      </c>
      <c r="I52" s="3" t="s">
        <v>232</v>
      </c>
      <c r="J52" s="3" t="s">
        <v>229</v>
      </c>
      <c r="K52" s="3" t="s">
        <v>34</v>
      </c>
      <c r="M52" s="3" t="s">
        <v>161</v>
      </c>
      <c r="N52" s="3" t="s">
        <v>36</v>
      </c>
      <c r="O52" s="3" t="s">
        <v>188</v>
      </c>
      <c r="P52" s="3" t="s">
        <v>190</v>
      </c>
      <c r="Q52" s="6">
        <v>60</v>
      </c>
      <c r="R52" s="7" t="s">
        <v>36</v>
      </c>
      <c r="S52" s="6">
        <v>18</v>
      </c>
      <c r="T52" s="7" t="s">
        <v>36</v>
      </c>
      <c r="U52" s="6">
        <v>14</v>
      </c>
      <c r="V52" s="7" t="s">
        <v>36</v>
      </c>
      <c r="W52" s="6">
        <v>12</v>
      </c>
      <c r="X52" s="7" t="s">
        <v>36</v>
      </c>
      <c r="Y52" s="6">
        <v>12</v>
      </c>
      <c r="Z52" s="7" t="s">
        <v>36</v>
      </c>
      <c r="AA52" s="6">
        <v>15</v>
      </c>
      <c r="AB52" s="8" t="s">
        <v>206</v>
      </c>
      <c r="AC52" s="8"/>
      <c r="AD52" s="8"/>
      <c r="AE52" s="8"/>
      <c r="AF52" s="8"/>
      <c r="AG52" s="8"/>
    </row>
    <row r="53" spans="1:33" ht="17" customHeight="1" x14ac:dyDescent="0.2">
      <c r="A53" s="3" t="s">
        <v>236</v>
      </c>
      <c r="B53" s="3" t="s">
        <v>27</v>
      </c>
      <c r="C53" t="s">
        <v>234</v>
      </c>
      <c r="D53" s="3" t="s">
        <v>239</v>
      </c>
      <c r="E53" s="3" t="s">
        <v>240</v>
      </c>
      <c r="F53" s="3" t="s">
        <v>124</v>
      </c>
      <c r="G53" t="s">
        <v>235</v>
      </c>
      <c r="H53" s="3" t="s">
        <v>231</v>
      </c>
      <c r="I53" s="3" t="s">
        <v>232</v>
      </c>
      <c r="J53" s="3" t="s">
        <v>229</v>
      </c>
      <c r="K53" s="3" t="s">
        <v>34</v>
      </c>
      <c r="M53" s="3" t="s">
        <v>174</v>
      </c>
      <c r="N53" s="3" t="s">
        <v>36</v>
      </c>
      <c r="O53" s="3" t="s">
        <v>188</v>
      </c>
      <c r="P53" s="3" t="s">
        <v>190</v>
      </c>
      <c r="Q53" s="6">
        <v>45</v>
      </c>
      <c r="R53" s="7" t="s">
        <v>36</v>
      </c>
      <c r="S53" s="6">
        <v>12</v>
      </c>
      <c r="T53" s="7" t="s">
        <v>36</v>
      </c>
      <c r="U53" s="6">
        <v>10</v>
      </c>
      <c r="V53" s="7" t="s">
        <v>36</v>
      </c>
      <c r="W53" s="6">
        <v>10</v>
      </c>
      <c r="X53" s="7" t="s">
        <v>36</v>
      </c>
      <c r="Y53" s="6">
        <v>12</v>
      </c>
      <c r="Z53" s="7" t="s">
        <v>36</v>
      </c>
      <c r="AA53" s="6">
        <v>10</v>
      </c>
      <c r="AB53" s="8" t="s">
        <v>206</v>
      </c>
      <c r="AC53" s="8"/>
      <c r="AD53" s="8"/>
      <c r="AE53" s="8"/>
      <c r="AF53" s="8"/>
      <c r="AG53" s="8"/>
    </row>
    <row r="54" spans="1:33" ht="17" customHeight="1" x14ac:dyDescent="0.2">
      <c r="A54" s="3" t="s">
        <v>236</v>
      </c>
      <c r="B54" s="3" t="s">
        <v>27</v>
      </c>
      <c r="C54" t="s">
        <v>238</v>
      </c>
      <c r="D54" s="3" t="s">
        <v>239</v>
      </c>
      <c r="E54" s="3" t="s">
        <v>240</v>
      </c>
      <c r="F54" s="3" t="s">
        <v>124</v>
      </c>
      <c r="G54" t="s">
        <v>241</v>
      </c>
      <c r="H54" s="3" t="s">
        <v>242</v>
      </c>
      <c r="I54" s="3" t="s">
        <v>232</v>
      </c>
      <c r="J54" s="3" t="s">
        <v>229</v>
      </c>
      <c r="K54" s="3" t="s">
        <v>34</v>
      </c>
      <c r="M54" s="3" t="s">
        <v>174</v>
      </c>
      <c r="N54" s="3" t="s">
        <v>36</v>
      </c>
      <c r="O54" s="3" t="s">
        <v>188</v>
      </c>
      <c r="P54" s="3" t="s">
        <v>190</v>
      </c>
      <c r="Q54" s="6">
        <v>42</v>
      </c>
      <c r="R54" s="7" t="s">
        <v>36</v>
      </c>
      <c r="S54" s="6">
        <v>10</v>
      </c>
      <c r="T54" s="7" t="s">
        <v>36</v>
      </c>
      <c r="U54" s="6">
        <v>10</v>
      </c>
      <c r="V54" s="7" t="s">
        <v>36</v>
      </c>
      <c r="W54" s="6">
        <v>10</v>
      </c>
      <c r="X54" s="7" t="s">
        <v>36</v>
      </c>
      <c r="Y54" s="6">
        <v>12</v>
      </c>
      <c r="Z54" s="7" t="s">
        <v>36</v>
      </c>
      <c r="AA54" s="6">
        <v>10</v>
      </c>
      <c r="AB54" s="8" t="s">
        <v>206</v>
      </c>
      <c r="AC54" s="8"/>
      <c r="AD54" s="8"/>
      <c r="AE54" s="8"/>
      <c r="AF54" s="8"/>
      <c r="AG54" s="8"/>
    </row>
    <row r="55" spans="1:33" ht="17" customHeight="1" x14ac:dyDescent="0.2">
      <c r="C55" s="2" t="s">
        <v>233</v>
      </c>
      <c r="F55" s="3"/>
    </row>
  </sheetData>
  <phoneticPr fontId="2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C2AE75C-1E8D-43A8-A722-49FC1884F372}">
          <x14:formula1>
            <xm:f>'Host Variablen'!$B$2:$B$3</xm:f>
          </x14:formula1>
          <xm:sqref>N2:N54 X2:X46 R2:R46 T2:T46 V2:V46 Z2:Z46</xm:sqref>
        </x14:dataValidation>
        <x14:dataValidation type="list" allowBlank="1" showInputMessage="1" showErrorMessage="1" xr:uid="{4BA4B0C4-608A-42ED-88E6-19C8F02C8BFA}">
          <x14:formula1>
            <xm:f>'Host Variablen'!$A$2:$A$5</xm:f>
          </x14:formula1>
          <xm:sqref>B2:B46</xm:sqref>
        </x14:dataValidation>
        <x14:dataValidation type="list" allowBlank="1" showInputMessage="1" showErrorMessage="1" xr:uid="{408B1698-36A4-4758-9131-097BC756226C}">
          <x14:formula1>
            <xm:f>'Host Variablen'!$D$2:$D$7</xm:f>
          </x14:formula1>
          <xm:sqref>M2:M54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E570-9A81-455A-B0F1-7C4D55FA25EF}">
  <sheetPr codeName="Sheet2"/>
  <dimension ref="A1:D7"/>
  <sheetViews>
    <sheetView workbookViewId="0">
      <selection activeCell="E7" sqref="E7"/>
    </sheetView>
  </sheetViews>
  <sheetFormatPr baseColWidth="10" defaultColWidth="11.5" defaultRowHeight="15" x14ac:dyDescent="0.2"/>
  <cols>
    <col min="1" max="1" width="12.5" bestFit="1" customWidth="1"/>
    <col min="2" max="3" width="17.83203125" customWidth="1"/>
    <col min="4" max="4" width="16.33203125" bestFit="1" customWidth="1"/>
  </cols>
  <sheetData>
    <row r="1" spans="1:4" x14ac:dyDescent="0.2">
      <c r="A1" s="1" t="s">
        <v>1</v>
      </c>
      <c r="B1" s="1" t="s">
        <v>165</v>
      </c>
      <c r="C1" s="1" t="s">
        <v>11</v>
      </c>
      <c r="D1" s="1" t="s">
        <v>166</v>
      </c>
    </row>
    <row r="2" spans="1:4" x14ac:dyDescent="0.2">
      <c r="A2" t="s">
        <v>167</v>
      </c>
      <c r="B2" t="s">
        <v>168</v>
      </c>
      <c r="C2" t="s">
        <v>169</v>
      </c>
      <c r="D2" t="s">
        <v>170</v>
      </c>
    </row>
    <row r="3" spans="1:4" x14ac:dyDescent="0.2">
      <c r="A3" t="s">
        <v>171</v>
      </c>
      <c r="B3" t="s">
        <v>172</v>
      </c>
      <c r="C3" t="s">
        <v>173</v>
      </c>
      <c r="D3" t="s">
        <v>174</v>
      </c>
    </row>
    <row r="4" spans="1:4" x14ac:dyDescent="0.2">
      <c r="A4" t="s">
        <v>175</v>
      </c>
      <c r="C4" t="s">
        <v>176</v>
      </c>
      <c r="D4" t="s">
        <v>177</v>
      </c>
    </row>
    <row r="5" spans="1:4" x14ac:dyDescent="0.2">
      <c r="A5" t="s">
        <v>178</v>
      </c>
      <c r="C5" t="s">
        <v>179</v>
      </c>
      <c r="D5" t="s">
        <v>180</v>
      </c>
    </row>
    <row r="6" spans="1:4" x14ac:dyDescent="0.2">
      <c r="C6" t="s">
        <v>181</v>
      </c>
      <c r="D6" t="s">
        <v>182</v>
      </c>
    </row>
    <row r="7" spans="1:4" x14ac:dyDescent="0.2">
      <c r="D7" t="s">
        <v>179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094C-6E55-4B49-90F4-F43BD3234A06}">
  <sheetPr codeName="Sheet3"/>
  <dimension ref="A1:AF100"/>
  <sheetViews>
    <sheetView tabSelected="1" zoomScale="120" zoomScaleNormal="120" workbookViewId="0">
      <selection activeCell="G92" sqref="G92"/>
    </sheetView>
  </sheetViews>
  <sheetFormatPr baseColWidth="10" defaultColWidth="11.5" defaultRowHeight="15" x14ac:dyDescent="0.2"/>
  <cols>
    <col min="1" max="1" width="13.6640625" bestFit="1" customWidth="1"/>
    <col min="2" max="2" width="11.5" customWidth="1"/>
    <col min="3" max="3" width="9.1640625" bestFit="1" customWidth="1"/>
    <col min="4" max="4" width="20.83203125" bestFit="1" customWidth="1"/>
    <col min="5" max="5" width="12.1640625" bestFit="1" customWidth="1"/>
    <col min="6" max="6" width="14.33203125" bestFit="1" customWidth="1"/>
    <col min="7" max="8" width="24.33203125" bestFit="1" customWidth="1"/>
    <col min="9" max="9" width="4.6640625" customWidth="1"/>
    <col min="10" max="10" width="11.5" bestFit="1" customWidth="1"/>
    <col min="11" max="12" width="13.5" bestFit="1" customWidth="1"/>
    <col min="13" max="13" width="12.83203125" bestFit="1" customWidth="1"/>
    <col min="14" max="14" width="13.33203125" bestFit="1" customWidth="1"/>
    <col min="15" max="15" width="15.5" bestFit="1" customWidth="1"/>
    <col min="16" max="16" width="4.6640625" bestFit="1" customWidth="1"/>
    <col min="17" max="17" width="4.5" bestFit="1" customWidth="1"/>
  </cols>
  <sheetData>
    <row r="1" spans="1:32" ht="17" customHeight="1" x14ac:dyDescent="0.2">
      <c r="A1" s="1" t="s">
        <v>251</v>
      </c>
      <c r="B1" s="1" t="s">
        <v>1</v>
      </c>
      <c r="C1" s="1" t="s">
        <v>257</v>
      </c>
      <c r="D1" s="1" t="s">
        <v>4</v>
      </c>
      <c r="E1" s="1" t="s">
        <v>3</v>
      </c>
      <c r="F1" s="1" t="s">
        <v>263</v>
      </c>
      <c r="G1" s="1" t="s">
        <v>14</v>
      </c>
      <c r="H1" s="1" t="s">
        <v>15</v>
      </c>
      <c r="I1" s="1"/>
      <c r="J1" s="1" t="s">
        <v>5</v>
      </c>
      <c r="K1" s="1" t="s">
        <v>12</v>
      </c>
      <c r="L1" s="1" t="s">
        <v>271</v>
      </c>
      <c r="M1" s="1" t="s">
        <v>17</v>
      </c>
      <c r="N1" s="1" t="s">
        <v>19</v>
      </c>
      <c r="O1" s="1" t="s">
        <v>21</v>
      </c>
      <c r="P1" s="1" t="s">
        <v>23</v>
      </c>
      <c r="Q1" s="1" t="s">
        <v>25</v>
      </c>
    </row>
    <row r="2" spans="1:32" x14ac:dyDescent="0.2">
      <c r="A2" s="3" t="s">
        <v>252</v>
      </c>
      <c r="B2" t="s">
        <v>27</v>
      </c>
      <c r="C2" t="s">
        <v>258</v>
      </c>
      <c r="D2">
        <v>47.377857900000002</v>
      </c>
      <c r="E2">
        <v>8.5381339000000001</v>
      </c>
      <c r="F2" t="s">
        <v>264</v>
      </c>
      <c r="G2" s="3" t="s">
        <v>185</v>
      </c>
      <c r="H2" s="3" t="s">
        <v>188</v>
      </c>
      <c r="I2" s="1"/>
      <c r="J2" s="3" t="s">
        <v>31</v>
      </c>
      <c r="K2" t="s">
        <v>35</v>
      </c>
      <c r="L2">
        <v>22</v>
      </c>
      <c r="M2" s="3" t="s">
        <v>36</v>
      </c>
      <c r="N2" s="3" t="s">
        <v>36</v>
      </c>
      <c r="O2" s="3" t="s">
        <v>36</v>
      </c>
      <c r="P2" s="3" t="s">
        <v>37</v>
      </c>
      <c r="Q2" s="3" t="s">
        <v>37</v>
      </c>
    </row>
    <row r="3" spans="1:32" x14ac:dyDescent="0.2">
      <c r="A3" s="3" t="s">
        <v>253</v>
      </c>
      <c r="B3" t="s">
        <v>27</v>
      </c>
      <c r="C3" t="s">
        <v>259</v>
      </c>
      <c r="D3">
        <v>47.369575099999999</v>
      </c>
      <c r="E3">
        <v>8.5388964000000005</v>
      </c>
      <c r="F3" t="s">
        <v>277</v>
      </c>
      <c r="G3" s="3" t="s">
        <v>272</v>
      </c>
      <c r="H3" s="3" t="s">
        <v>266</v>
      </c>
      <c r="I3" s="1"/>
      <c r="J3" s="3" t="s">
        <v>31</v>
      </c>
      <c r="K3" t="s">
        <v>35</v>
      </c>
      <c r="L3">
        <v>30</v>
      </c>
      <c r="M3" s="3" t="s">
        <v>36</v>
      </c>
      <c r="N3" s="3" t="s">
        <v>36</v>
      </c>
      <c r="O3" s="3" t="s">
        <v>37</v>
      </c>
      <c r="P3" s="3" t="s">
        <v>36</v>
      </c>
      <c r="Q3" s="3" t="s">
        <v>36</v>
      </c>
    </row>
    <row r="4" spans="1:32" x14ac:dyDescent="0.2">
      <c r="A4" s="3" t="s">
        <v>254</v>
      </c>
      <c r="B4" t="s">
        <v>27</v>
      </c>
      <c r="C4" t="s">
        <v>260</v>
      </c>
      <c r="D4">
        <v>47.371580399999999</v>
      </c>
      <c r="E4">
        <v>8.5441082000000002</v>
      </c>
      <c r="F4" t="s">
        <v>267</v>
      </c>
      <c r="G4" s="3" t="s">
        <v>187</v>
      </c>
      <c r="H4" s="3" t="s">
        <v>269</v>
      </c>
      <c r="I4" s="1"/>
      <c r="J4" s="3" t="s">
        <v>124</v>
      </c>
      <c r="K4" t="s">
        <v>53</v>
      </c>
      <c r="L4">
        <v>38</v>
      </c>
      <c r="M4" s="3" t="s">
        <v>36</v>
      </c>
      <c r="N4" s="3" t="s">
        <v>36</v>
      </c>
      <c r="O4" s="3" t="s">
        <v>37</v>
      </c>
      <c r="P4" s="3" t="s">
        <v>37</v>
      </c>
      <c r="Q4" s="3" t="s">
        <v>37</v>
      </c>
    </row>
    <row r="5" spans="1:32" x14ac:dyDescent="0.2">
      <c r="A5" s="3" t="s">
        <v>255</v>
      </c>
      <c r="B5" t="s">
        <v>27</v>
      </c>
      <c r="C5" t="s">
        <v>261</v>
      </c>
      <c r="D5">
        <v>47.373217500000003</v>
      </c>
      <c r="E5">
        <v>8.5300788999999995</v>
      </c>
      <c r="F5" t="s">
        <v>278</v>
      </c>
      <c r="G5" s="3" t="s">
        <v>274</v>
      </c>
      <c r="H5" s="3" t="s">
        <v>281</v>
      </c>
      <c r="I5" s="1"/>
      <c r="J5" s="3" t="s">
        <v>118</v>
      </c>
      <c r="K5" t="s">
        <v>161</v>
      </c>
      <c r="L5">
        <v>40</v>
      </c>
      <c r="M5" s="3" t="s">
        <v>36</v>
      </c>
      <c r="N5" s="3" t="s">
        <v>36</v>
      </c>
      <c r="O5" s="3" t="s">
        <v>36</v>
      </c>
      <c r="P5" s="3" t="s">
        <v>36</v>
      </c>
      <c r="Q5" s="3" t="s">
        <v>36</v>
      </c>
    </row>
    <row r="6" spans="1:32" x14ac:dyDescent="0.2">
      <c r="A6" s="3" t="s">
        <v>256</v>
      </c>
      <c r="B6" t="s">
        <v>27</v>
      </c>
      <c r="C6" t="s">
        <v>262</v>
      </c>
      <c r="D6">
        <v>47.268203</v>
      </c>
      <c r="E6">
        <v>7.4096177000000001</v>
      </c>
      <c r="F6" t="s">
        <v>279</v>
      </c>
      <c r="G6" s="3" t="s">
        <v>183</v>
      </c>
      <c r="H6" s="3" t="s">
        <v>184</v>
      </c>
      <c r="I6" s="1"/>
      <c r="J6" s="3" t="s">
        <v>31</v>
      </c>
      <c r="K6" t="s">
        <v>35</v>
      </c>
      <c r="L6">
        <v>25</v>
      </c>
      <c r="M6" s="3" t="s">
        <v>36</v>
      </c>
      <c r="N6" s="3" t="s">
        <v>36</v>
      </c>
      <c r="O6" s="3" t="s">
        <v>37</v>
      </c>
      <c r="P6" s="3" t="s">
        <v>36</v>
      </c>
      <c r="Q6" s="3" t="s">
        <v>37</v>
      </c>
    </row>
    <row r="7" spans="1:32" x14ac:dyDescent="0.2">
      <c r="A7" s="3"/>
    </row>
    <row r="10" spans="1:32" x14ac:dyDescent="0.2">
      <c r="A10" t="s">
        <v>265</v>
      </c>
      <c r="H10" s="5"/>
      <c r="I10" s="5"/>
    </row>
    <row r="11" spans="1:32" ht="17" customHeight="1" x14ac:dyDescent="0.2">
      <c r="A11" s="9" t="s">
        <v>280</v>
      </c>
      <c r="B11" s="9"/>
      <c r="C11" s="9"/>
      <c r="L11" s="4"/>
      <c r="M11" s="3"/>
      <c r="N11" s="4"/>
      <c r="O11" s="3"/>
      <c r="P11" s="4"/>
      <c r="AF11" s="2"/>
    </row>
    <row r="12" spans="1:32" x14ac:dyDescent="0.2">
      <c r="A12" s="1" t="s">
        <v>251</v>
      </c>
      <c r="B12" s="1" t="s">
        <v>0</v>
      </c>
      <c r="C12" s="1" t="s">
        <v>2</v>
      </c>
      <c r="D12" s="10"/>
      <c r="E12" s="10" t="s">
        <v>275</v>
      </c>
    </row>
    <row r="13" spans="1:32" x14ac:dyDescent="0.2">
      <c r="A13" s="3" t="s">
        <v>252</v>
      </c>
      <c r="B13" s="3" t="s">
        <v>196</v>
      </c>
      <c r="C13" s="3" t="s">
        <v>27</v>
      </c>
      <c r="D13" s="3" t="s">
        <v>46</v>
      </c>
      <c r="E13" s="5">
        <v>0.514494133985542</v>
      </c>
    </row>
    <row r="14" spans="1:32" x14ac:dyDescent="0.2">
      <c r="B14" s="3" t="s">
        <v>201</v>
      </c>
      <c r="C14" s="3" t="s">
        <v>27</v>
      </c>
      <c r="D14" s="3" t="s">
        <v>46</v>
      </c>
      <c r="E14" s="5">
        <v>0.514494133985542</v>
      </c>
    </row>
    <row r="15" spans="1:32" x14ac:dyDescent="0.2">
      <c r="B15" s="3">
        <v>100008</v>
      </c>
      <c r="C15" s="3" t="s">
        <v>27</v>
      </c>
      <c r="D15" s="3" t="s">
        <v>62</v>
      </c>
      <c r="E15" s="5">
        <v>0.53329717365596241</v>
      </c>
    </row>
    <row r="16" spans="1:32" x14ac:dyDescent="0.2">
      <c r="B16" s="3">
        <v>100011</v>
      </c>
      <c r="C16" s="3" t="s">
        <v>27</v>
      </c>
      <c r="D16" s="3" t="s">
        <v>73</v>
      </c>
      <c r="E16" s="5">
        <v>0.54763161721073916</v>
      </c>
      <c r="S16" s="4"/>
    </row>
    <row r="17" spans="2:21" x14ac:dyDescent="0.2">
      <c r="B17" s="3">
        <v>100010</v>
      </c>
      <c r="C17" s="3" t="s">
        <v>27</v>
      </c>
      <c r="D17" s="3" t="s">
        <v>70</v>
      </c>
      <c r="E17" s="5">
        <v>0.56397501666160776</v>
      </c>
      <c r="S17" s="4"/>
    </row>
    <row r="18" spans="2:21" x14ac:dyDescent="0.2">
      <c r="B18" s="3" t="s">
        <v>243</v>
      </c>
      <c r="C18" s="3" t="s">
        <v>27</v>
      </c>
      <c r="D18" s="3" t="s">
        <v>50</v>
      </c>
      <c r="E18" s="5">
        <v>0.56832248010149722</v>
      </c>
      <c r="S18" s="4"/>
    </row>
    <row r="19" spans="2:21" x14ac:dyDescent="0.2">
      <c r="B19" s="3" t="s">
        <v>194</v>
      </c>
      <c r="C19" s="3" t="s">
        <v>27</v>
      </c>
      <c r="D19" s="3" t="s">
        <v>38</v>
      </c>
      <c r="E19" s="5">
        <v>0.62965648273189379</v>
      </c>
      <c r="S19" s="4"/>
    </row>
    <row r="20" spans="2:21" x14ac:dyDescent="0.2">
      <c r="B20" s="3" t="s">
        <v>197</v>
      </c>
      <c r="C20" s="3" t="s">
        <v>27</v>
      </c>
      <c r="D20" s="3" t="s">
        <v>38</v>
      </c>
      <c r="E20" s="5">
        <v>0.62965648273189379</v>
      </c>
      <c r="S20" s="4"/>
    </row>
    <row r="21" spans="2:21" x14ac:dyDescent="0.2">
      <c r="B21" s="3" t="s">
        <v>198</v>
      </c>
      <c r="C21" s="3" t="s">
        <v>27</v>
      </c>
      <c r="D21" s="3" t="s">
        <v>38</v>
      </c>
      <c r="E21" s="5">
        <v>0.62965648273189379</v>
      </c>
      <c r="S21" s="4"/>
    </row>
    <row r="22" spans="2:21" x14ac:dyDescent="0.2">
      <c r="B22" s="3" t="s">
        <v>199</v>
      </c>
      <c r="C22" s="3" t="s">
        <v>27</v>
      </c>
      <c r="D22" s="3" t="s">
        <v>38</v>
      </c>
      <c r="E22" s="5">
        <v>0.62965648273189379</v>
      </c>
      <c r="S22" s="4"/>
    </row>
    <row r="23" spans="2:21" x14ac:dyDescent="0.2">
      <c r="B23" s="3">
        <v>100007</v>
      </c>
      <c r="C23" s="3" t="s">
        <v>27</v>
      </c>
      <c r="D23" s="3" t="s">
        <v>58</v>
      </c>
      <c r="E23" s="5">
        <v>0.63244334432472171</v>
      </c>
      <c r="S23" s="4"/>
    </row>
    <row r="24" spans="2:21" x14ac:dyDescent="0.2">
      <c r="B24" s="3">
        <v>100012</v>
      </c>
      <c r="C24" s="3" t="s">
        <v>27</v>
      </c>
      <c r="D24" s="3" t="s">
        <v>76</v>
      </c>
      <c r="E24" s="5">
        <v>0.65404707084281211</v>
      </c>
      <c r="S24" s="4"/>
    </row>
    <row r="25" spans="2:21" x14ac:dyDescent="0.2">
      <c r="B25" s="3">
        <v>100009</v>
      </c>
      <c r="C25" s="3" t="s">
        <v>27</v>
      </c>
      <c r="D25" s="3" t="s">
        <v>66</v>
      </c>
      <c r="E25" s="5">
        <v>0.66525345092932486</v>
      </c>
      <c r="S25" s="4"/>
    </row>
    <row r="26" spans="2:21" x14ac:dyDescent="0.2">
      <c r="B26" s="3">
        <v>100006</v>
      </c>
      <c r="C26" s="3" t="s">
        <v>27</v>
      </c>
      <c r="D26" s="3" t="s">
        <v>54</v>
      </c>
      <c r="E26" s="5">
        <v>0.95076479464634567</v>
      </c>
      <c r="S26" s="4"/>
    </row>
    <row r="27" spans="2:21" x14ac:dyDescent="0.2">
      <c r="B27" s="3" t="s">
        <v>191</v>
      </c>
      <c r="C27" s="3" t="s">
        <v>27</v>
      </c>
      <c r="D27" s="3" t="s">
        <v>28</v>
      </c>
      <c r="E27" s="5">
        <v>1.0466116198846929</v>
      </c>
      <c r="S27" s="4"/>
      <c r="U27" s="4"/>
    </row>
    <row r="28" spans="2:21" x14ac:dyDescent="0.2">
      <c r="B28" s="3" t="s">
        <v>192</v>
      </c>
      <c r="C28" s="3" t="s">
        <v>27</v>
      </c>
      <c r="D28" s="3" t="s">
        <v>28</v>
      </c>
      <c r="E28" s="5">
        <v>1.0466116198846929</v>
      </c>
      <c r="S28" s="4"/>
      <c r="U28" s="4"/>
    </row>
    <row r="29" spans="2:21" x14ac:dyDescent="0.2">
      <c r="B29" s="3" t="s">
        <v>193</v>
      </c>
      <c r="C29" s="3" t="s">
        <v>27</v>
      </c>
      <c r="D29" s="3" t="s">
        <v>28</v>
      </c>
      <c r="E29" s="5">
        <v>1.0466116198846929</v>
      </c>
      <c r="S29" s="4"/>
      <c r="U29" s="4"/>
    </row>
    <row r="30" spans="2:21" x14ac:dyDescent="0.2">
      <c r="B30" s="3">
        <v>100013</v>
      </c>
      <c r="C30" s="3" t="s">
        <v>27</v>
      </c>
      <c r="D30" s="3" t="s">
        <v>80</v>
      </c>
      <c r="E30" s="5">
        <v>1.0691399034432465</v>
      </c>
      <c r="S30" s="4"/>
      <c r="U30" s="4"/>
    </row>
    <row r="31" spans="2:21" x14ac:dyDescent="0.2">
      <c r="B31" s="3" t="s">
        <v>195</v>
      </c>
      <c r="C31" s="3" t="s">
        <v>27</v>
      </c>
      <c r="D31" s="3" t="s">
        <v>42</v>
      </c>
      <c r="E31" s="5">
        <v>1.1886810327537312</v>
      </c>
      <c r="S31" s="4"/>
      <c r="U31" s="4"/>
    </row>
    <row r="32" spans="2:21" x14ac:dyDescent="0.2">
      <c r="B32" s="3" t="s">
        <v>200</v>
      </c>
      <c r="C32" s="3" t="s">
        <v>27</v>
      </c>
      <c r="D32" s="3" t="s">
        <v>42</v>
      </c>
      <c r="E32" s="5">
        <v>1.1886810327537312</v>
      </c>
      <c r="S32" s="4"/>
      <c r="U32" s="4"/>
    </row>
    <row r="33" spans="1:21" x14ac:dyDescent="0.2">
      <c r="S33" s="4"/>
      <c r="U33" s="4"/>
    </row>
    <row r="34" spans="1:21" x14ac:dyDescent="0.2">
      <c r="A34" s="3"/>
      <c r="S34" s="4"/>
      <c r="U34" s="4"/>
    </row>
    <row r="35" spans="1:21" x14ac:dyDescent="0.2">
      <c r="A35" s="3" t="s">
        <v>253</v>
      </c>
      <c r="B35" s="3" t="s">
        <v>244</v>
      </c>
      <c r="C35" s="3" t="s">
        <v>27</v>
      </c>
      <c r="D35" s="3" t="s">
        <v>115</v>
      </c>
      <c r="E35" s="5">
        <v>6.9398533335912449E-2</v>
      </c>
      <c r="S35" s="4"/>
      <c r="U35" s="4"/>
    </row>
    <row r="36" spans="1:21" x14ac:dyDescent="0.2">
      <c r="B36" s="3" t="s">
        <v>245</v>
      </c>
      <c r="C36" s="3" t="s">
        <v>27</v>
      </c>
      <c r="D36" s="3" t="s">
        <v>115</v>
      </c>
      <c r="E36" s="5">
        <v>6.9398533335912449E-2</v>
      </c>
      <c r="S36" s="4"/>
      <c r="U36" s="4"/>
    </row>
    <row r="37" spans="1:21" x14ac:dyDescent="0.2">
      <c r="B37" s="3" t="s">
        <v>246</v>
      </c>
      <c r="C37" s="3" t="s">
        <v>27</v>
      </c>
      <c r="D37" s="3" t="s">
        <v>115</v>
      </c>
      <c r="E37" s="5">
        <v>6.9398533335912449E-2</v>
      </c>
      <c r="S37" s="4"/>
      <c r="U37" s="4"/>
    </row>
    <row r="38" spans="1:21" x14ac:dyDescent="0.2">
      <c r="B38" s="3" t="s">
        <v>247</v>
      </c>
      <c r="C38" s="3" t="s">
        <v>27</v>
      </c>
      <c r="D38" s="3" t="s">
        <v>115</v>
      </c>
      <c r="E38" s="5">
        <v>6.9398533335912449E-2</v>
      </c>
      <c r="S38" s="4"/>
      <c r="U38" s="4"/>
    </row>
    <row r="39" spans="1:21" x14ac:dyDescent="0.2">
      <c r="B39" s="3">
        <v>100018</v>
      </c>
      <c r="C39" s="3" t="s">
        <v>27</v>
      </c>
      <c r="D39" s="3" t="s">
        <v>99</v>
      </c>
      <c r="E39" s="5">
        <v>0.43993180323910136</v>
      </c>
      <c r="S39" s="4"/>
      <c r="U39" s="4"/>
    </row>
    <row r="40" spans="1:21" x14ac:dyDescent="0.2">
      <c r="B40" s="3">
        <v>100020</v>
      </c>
      <c r="C40" s="3" t="s">
        <v>27</v>
      </c>
      <c r="D40" s="3" t="s">
        <v>108</v>
      </c>
      <c r="E40" s="5">
        <v>0.55687896481093146</v>
      </c>
      <c r="S40" s="4"/>
      <c r="U40" s="4"/>
    </row>
    <row r="41" spans="1:21" x14ac:dyDescent="0.2">
      <c r="B41" s="3">
        <v>100014</v>
      </c>
      <c r="C41" s="3" t="s">
        <v>27</v>
      </c>
      <c r="D41" s="3" t="s">
        <v>84</v>
      </c>
      <c r="E41" s="5">
        <v>0.70403548233121005</v>
      </c>
      <c r="S41" s="4"/>
      <c r="U41" s="4"/>
    </row>
    <row r="42" spans="1:21" x14ac:dyDescent="0.2">
      <c r="B42" s="3">
        <v>100015</v>
      </c>
      <c r="C42" s="3" t="s">
        <v>27</v>
      </c>
      <c r="D42" s="3" t="s">
        <v>88</v>
      </c>
      <c r="E42" s="5">
        <v>0.75408336533674791</v>
      </c>
      <c r="S42" s="4"/>
      <c r="U42" s="4"/>
    </row>
    <row r="43" spans="1:21" x14ac:dyDescent="0.2">
      <c r="B43" s="3">
        <v>100017</v>
      </c>
      <c r="C43" s="3" t="s">
        <v>27</v>
      </c>
      <c r="D43" s="3" t="s">
        <v>96</v>
      </c>
      <c r="E43" s="5">
        <v>0.79261481126262334</v>
      </c>
      <c r="S43" s="4"/>
      <c r="U43" s="4"/>
    </row>
    <row r="44" spans="1:21" x14ac:dyDescent="0.2">
      <c r="B44" s="3">
        <v>100021</v>
      </c>
      <c r="C44" s="3" t="s">
        <v>27</v>
      </c>
      <c r="D44" s="3" t="s">
        <v>111</v>
      </c>
      <c r="E44" s="5">
        <v>0.82533844648392674</v>
      </c>
      <c r="S44" s="4"/>
      <c r="U44" s="4"/>
    </row>
    <row r="45" spans="1:21" x14ac:dyDescent="0.2">
      <c r="B45" s="3">
        <v>100019</v>
      </c>
      <c r="C45" s="3" t="s">
        <v>27</v>
      </c>
      <c r="D45" s="3" t="s">
        <v>104</v>
      </c>
      <c r="E45" s="5">
        <v>1.1745892798686501</v>
      </c>
      <c r="S45" s="4"/>
      <c r="U45" s="4"/>
    </row>
    <row r="46" spans="1:21" x14ac:dyDescent="0.2">
      <c r="B46" s="3">
        <v>100016</v>
      </c>
      <c r="C46" s="3" t="s">
        <v>27</v>
      </c>
      <c r="D46" s="3" t="s">
        <v>92</v>
      </c>
      <c r="E46" s="5">
        <v>1.1970850881676145</v>
      </c>
      <c r="S46" s="4"/>
      <c r="U46" s="4"/>
    </row>
    <row r="47" spans="1:21" x14ac:dyDescent="0.2">
      <c r="A47" s="3"/>
      <c r="S47" s="4"/>
      <c r="U47" s="4"/>
    </row>
    <row r="48" spans="1:21" x14ac:dyDescent="0.2">
      <c r="A48" s="3"/>
      <c r="S48" s="4"/>
      <c r="U48" s="4"/>
    </row>
    <row r="49" spans="1:21" x14ac:dyDescent="0.2">
      <c r="A49" s="3" t="s">
        <v>254</v>
      </c>
      <c r="B49" s="3">
        <v>100009</v>
      </c>
      <c r="C49" s="3" t="s">
        <v>27</v>
      </c>
      <c r="D49" s="3" t="s">
        <v>66</v>
      </c>
      <c r="E49" s="5">
        <v>0.18213394716854139</v>
      </c>
      <c r="S49" s="4"/>
      <c r="U49" s="4"/>
    </row>
    <row r="50" spans="1:21" x14ac:dyDescent="0.2">
      <c r="A50" s="3"/>
      <c r="B50" s="3">
        <v>100027</v>
      </c>
      <c r="C50" s="3" t="s">
        <v>27</v>
      </c>
      <c r="D50" s="3" t="s">
        <v>136</v>
      </c>
      <c r="E50" s="5">
        <v>0.18373386188015095</v>
      </c>
      <c r="S50" s="4"/>
      <c r="U50" s="4"/>
    </row>
    <row r="51" spans="1:21" x14ac:dyDescent="0.2">
      <c r="A51" s="3"/>
      <c r="B51" s="3">
        <v>100012</v>
      </c>
      <c r="C51" s="3" t="s">
        <v>27</v>
      </c>
      <c r="D51" s="3" t="s">
        <v>76</v>
      </c>
      <c r="E51" s="5">
        <v>0.21582753494960119</v>
      </c>
      <c r="S51" s="4"/>
      <c r="U51" s="4"/>
    </row>
    <row r="52" spans="1:21" x14ac:dyDescent="0.2">
      <c r="A52" s="3"/>
      <c r="B52" s="3" t="s">
        <v>194</v>
      </c>
      <c r="C52" s="3" t="s">
        <v>27</v>
      </c>
      <c r="D52" s="3" t="s">
        <v>38</v>
      </c>
      <c r="E52" s="5">
        <v>0.22907401113696332</v>
      </c>
      <c r="S52" s="4"/>
      <c r="U52" s="4"/>
    </row>
    <row r="53" spans="1:21" x14ac:dyDescent="0.2">
      <c r="A53" s="3"/>
      <c r="B53" s="3" t="s">
        <v>197</v>
      </c>
      <c r="C53" s="3" t="s">
        <v>27</v>
      </c>
      <c r="D53" s="3" t="s">
        <v>38</v>
      </c>
      <c r="E53" s="5">
        <v>0.22907401113696332</v>
      </c>
      <c r="S53" s="4"/>
      <c r="U53" s="4"/>
    </row>
    <row r="54" spans="1:21" x14ac:dyDescent="0.2">
      <c r="A54" s="3"/>
      <c r="B54" s="3" t="s">
        <v>198</v>
      </c>
      <c r="C54" s="3" t="s">
        <v>27</v>
      </c>
      <c r="D54" s="3" t="s">
        <v>38</v>
      </c>
      <c r="E54" s="5">
        <v>0.22907401113696332</v>
      </c>
      <c r="S54" s="4"/>
      <c r="U54" s="4"/>
    </row>
    <row r="55" spans="1:21" x14ac:dyDescent="0.2">
      <c r="A55" s="3"/>
      <c r="B55" s="3" t="s">
        <v>199</v>
      </c>
      <c r="C55" s="3" t="s">
        <v>27</v>
      </c>
      <c r="D55" s="3" t="s">
        <v>38</v>
      </c>
      <c r="E55" s="5">
        <v>0.22907401113696332</v>
      </c>
      <c r="S55" s="4"/>
      <c r="U55" s="4"/>
    </row>
    <row r="56" spans="1:21" x14ac:dyDescent="0.2">
      <c r="A56" s="3"/>
      <c r="B56" s="3" t="s">
        <v>191</v>
      </c>
      <c r="C56" s="3" t="s">
        <v>27</v>
      </c>
      <c r="D56" s="3" t="s">
        <v>28</v>
      </c>
      <c r="E56" s="5">
        <v>0.24689725205050808</v>
      </c>
      <c r="S56" s="4"/>
      <c r="U56" s="4"/>
    </row>
    <row r="57" spans="1:21" x14ac:dyDescent="0.2">
      <c r="A57" s="3"/>
      <c r="B57" s="3" t="s">
        <v>192</v>
      </c>
      <c r="C57" s="3" t="s">
        <v>27</v>
      </c>
      <c r="D57" s="3" t="s">
        <v>28</v>
      </c>
      <c r="E57" s="5">
        <v>0.24689725205050808</v>
      </c>
      <c r="S57" s="4"/>
      <c r="U57" s="4"/>
    </row>
    <row r="58" spans="1:21" x14ac:dyDescent="0.2">
      <c r="A58" s="3"/>
      <c r="B58" s="3" t="s">
        <v>193</v>
      </c>
      <c r="C58" s="3" t="s">
        <v>27</v>
      </c>
      <c r="D58" s="3" t="s">
        <v>28</v>
      </c>
      <c r="E58" s="5">
        <v>0.24689725205050808</v>
      </c>
      <c r="S58" s="4"/>
      <c r="U58" s="4"/>
    </row>
    <row r="59" spans="1:21" x14ac:dyDescent="0.2">
      <c r="A59" s="3"/>
      <c r="B59" s="3">
        <v>100013</v>
      </c>
      <c r="C59" s="3" t="s">
        <v>27</v>
      </c>
      <c r="D59" s="3" t="s">
        <v>80</v>
      </c>
      <c r="E59" s="5">
        <v>0.26136651756117812</v>
      </c>
      <c r="S59" s="4"/>
      <c r="U59" s="4"/>
    </row>
    <row r="60" spans="1:21" x14ac:dyDescent="0.2">
      <c r="A60" s="3"/>
      <c r="B60" s="3">
        <v>100024</v>
      </c>
      <c r="C60" s="3" t="s">
        <v>27</v>
      </c>
      <c r="D60" s="3" t="s">
        <v>126</v>
      </c>
      <c r="E60" s="5">
        <v>0.27378700702098019</v>
      </c>
      <c r="S60" s="4"/>
      <c r="U60" s="4"/>
    </row>
    <row r="61" spans="1:21" x14ac:dyDescent="0.2">
      <c r="A61" s="3"/>
      <c r="B61" s="3">
        <v>100007</v>
      </c>
      <c r="C61" s="3" t="s">
        <v>27</v>
      </c>
      <c r="D61" s="3" t="s">
        <v>58</v>
      </c>
      <c r="E61" s="5">
        <v>0.27458159295281587</v>
      </c>
      <c r="S61" s="4"/>
      <c r="U61" s="4"/>
    </row>
    <row r="62" spans="1:21" x14ac:dyDescent="0.2">
      <c r="A62" s="3"/>
      <c r="B62" s="3">
        <v>100006</v>
      </c>
      <c r="C62" s="3" t="s">
        <v>27</v>
      </c>
      <c r="D62" s="3" t="s">
        <v>54</v>
      </c>
      <c r="E62" s="5">
        <v>0.30611249023667469</v>
      </c>
      <c r="S62" s="4"/>
      <c r="U62" s="4"/>
    </row>
    <row r="63" spans="1:21" x14ac:dyDescent="0.2">
      <c r="A63" s="3"/>
      <c r="B63" s="3" t="s">
        <v>243</v>
      </c>
      <c r="C63" s="3" t="s">
        <v>27</v>
      </c>
      <c r="D63" s="3" t="s">
        <v>50</v>
      </c>
      <c r="E63" s="5">
        <v>0.33168714991868831</v>
      </c>
      <c r="S63" s="4"/>
      <c r="U63" s="4"/>
    </row>
    <row r="64" spans="1:21" x14ac:dyDescent="0.2">
      <c r="A64" s="3"/>
      <c r="B64" s="3">
        <v>100010</v>
      </c>
      <c r="C64" s="3" t="s">
        <v>27</v>
      </c>
      <c r="D64" s="3" t="s">
        <v>70</v>
      </c>
      <c r="E64" s="5">
        <v>0.40711758076884591</v>
      </c>
      <c r="S64" s="4"/>
      <c r="U64" s="4"/>
    </row>
    <row r="65" spans="1:5" x14ac:dyDescent="0.2">
      <c r="A65" s="3"/>
      <c r="B65" s="3" t="s">
        <v>196</v>
      </c>
      <c r="C65" s="3" t="s">
        <v>27</v>
      </c>
      <c r="D65" s="3" t="s">
        <v>46</v>
      </c>
      <c r="E65" s="5">
        <v>0.510039250969478</v>
      </c>
    </row>
    <row r="66" spans="1:5" x14ac:dyDescent="0.2">
      <c r="A66" s="3"/>
      <c r="B66" s="3" t="s">
        <v>201</v>
      </c>
      <c r="C66" s="3" t="s">
        <v>27</v>
      </c>
      <c r="D66" s="3" t="s">
        <v>46</v>
      </c>
      <c r="E66" s="5">
        <v>0.510039250969478</v>
      </c>
    </row>
    <row r="67" spans="1:5" x14ac:dyDescent="0.2">
      <c r="A67" s="3"/>
      <c r="B67" s="3" t="s">
        <v>248</v>
      </c>
      <c r="C67" s="3" t="s">
        <v>27</v>
      </c>
      <c r="D67" s="3" t="s">
        <v>134</v>
      </c>
      <c r="E67" s="5">
        <v>0.510039250969478</v>
      </c>
    </row>
    <row r="68" spans="1:5" x14ac:dyDescent="0.2">
      <c r="A68" s="3"/>
      <c r="B68" s="3" t="s">
        <v>249</v>
      </c>
      <c r="C68" s="3" t="s">
        <v>27</v>
      </c>
      <c r="D68" s="3" t="s">
        <v>134</v>
      </c>
      <c r="E68" s="5">
        <v>0.510039250969478</v>
      </c>
    </row>
    <row r="69" spans="1:5" x14ac:dyDescent="0.2">
      <c r="A69" s="3"/>
      <c r="B69" s="3">
        <v>100028</v>
      </c>
      <c r="C69" s="3" t="s">
        <v>27</v>
      </c>
      <c r="D69" s="3" t="s">
        <v>140</v>
      </c>
      <c r="E69" s="5">
        <v>0.57513379304724821</v>
      </c>
    </row>
    <row r="70" spans="1:5" x14ac:dyDescent="0.2">
      <c r="B70" s="3">
        <v>100025</v>
      </c>
      <c r="C70" s="3" t="s">
        <v>27</v>
      </c>
      <c r="D70" s="3" t="s">
        <v>130</v>
      </c>
      <c r="E70" s="5">
        <v>0.6071750428662136</v>
      </c>
    </row>
    <row r="71" spans="1:5" x14ac:dyDescent="0.2">
      <c r="B71" s="3">
        <v>100023</v>
      </c>
      <c r="C71" s="3" t="s">
        <v>27</v>
      </c>
      <c r="D71" s="3" t="s">
        <v>121</v>
      </c>
      <c r="E71" s="5">
        <v>0.69440367881610499</v>
      </c>
    </row>
    <row r="72" spans="1:5" x14ac:dyDescent="0.2">
      <c r="B72" s="3" t="s">
        <v>195</v>
      </c>
      <c r="C72" s="3" t="s">
        <v>27</v>
      </c>
      <c r="D72" s="3" t="s">
        <v>42</v>
      </c>
      <c r="E72" s="5">
        <v>0.73608049632420836</v>
      </c>
    </row>
    <row r="73" spans="1:5" x14ac:dyDescent="0.2">
      <c r="B73" s="3" t="s">
        <v>200</v>
      </c>
      <c r="C73" s="3" t="s">
        <v>27</v>
      </c>
      <c r="D73" s="3" t="s">
        <v>42</v>
      </c>
      <c r="E73" s="5">
        <v>0.73608049632420836</v>
      </c>
    </row>
    <row r="74" spans="1:5" x14ac:dyDescent="0.2">
      <c r="B74" s="3">
        <v>100008</v>
      </c>
      <c r="C74" s="3" t="s">
        <v>27</v>
      </c>
      <c r="D74" s="3" t="s">
        <v>62</v>
      </c>
      <c r="E74" s="5">
        <v>0.82565765802945101</v>
      </c>
    </row>
    <row r="75" spans="1:5" x14ac:dyDescent="0.2">
      <c r="B75" s="3">
        <v>100011</v>
      </c>
      <c r="C75" s="3" t="s">
        <v>27</v>
      </c>
      <c r="D75" s="3" t="s">
        <v>73</v>
      </c>
      <c r="E75" s="5">
        <v>0.84860118160543052</v>
      </c>
    </row>
    <row r="78" spans="1:5" x14ac:dyDescent="0.2">
      <c r="A78" s="3" t="s">
        <v>255</v>
      </c>
      <c r="B78" s="3" t="s">
        <v>244</v>
      </c>
      <c r="C78" s="3" t="s">
        <v>27</v>
      </c>
      <c r="D78" s="3" t="s">
        <v>115</v>
      </c>
      <c r="E78" s="5">
        <v>0.80346583798631843</v>
      </c>
    </row>
    <row r="79" spans="1:5" x14ac:dyDescent="0.2">
      <c r="B79" s="3" t="s">
        <v>245</v>
      </c>
      <c r="C79" s="3" t="s">
        <v>27</v>
      </c>
      <c r="D79" s="3" t="s">
        <v>115</v>
      </c>
      <c r="E79" s="5">
        <v>0.80346583798631843</v>
      </c>
    </row>
    <row r="80" spans="1:5" x14ac:dyDescent="0.2">
      <c r="B80" s="3" t="s">
        <v>246</v>
      </c>
      <c r="C80" s="3" t="s">
        <v>27</v>
      </c>
      <c r="D80" s="3" t="s">
        <v>115</v>
      </c>
      <c r="E80" s="5">
        <v>0.80346583798631843</v>
      </c>
    </row>
    <row r="81" spans="1:5" x14ac:dyDescent="0.2">
      <c r="B81" s="3" t="s">
        <v>247</v>
      </c>
      <c r="C81" s="3" t="s">
        <v>27</v>
      </c>
      <c r="D81" s="3" t="s">
        <v>115</v>
      </c>
      <c r="E81" s="5">
        <v>0.80346583798631843</v>
      </c>
    </row>
    <row r="82" spans="1:5" x14ac:dyDescent="0.2">
      <c r="B82" s="3">
        <v>100015</v>
      </c>
      <c r="C82" s="3" t="s">
        <v>27</v>
      </c>
      <c r="D82" s="3" t="s">
        <v>88</v>
      </c>
      <c r="E82" s="5">
        <v>0.82720328276187483</v>
      </c>
    </row>
    <row r="83" spans="1:5" x14ac:dyDescent="0.2">
      <c r="B83" s="3">
        <v>100016</v>
      </c>
      <c r="C83" s="3" t="s">
        <v>27</v>
      </c>
      <c r="D83" s="3" t="s">
        <v>92</v>
      </c>
      <c r="E83" s="5">
        <v>0.95133837647790098</v>
      </c>
    </row>
    <row r="84" spans="1:5" x14ac:dyDescent="0.2">
      <c r="B84" s="3">
        <v>100020</v>
      </c>
      <c r="C84" s="3" t="s">
        <v>27</v>
      </c>
      <c r="D84" s="3" t="s">
        <v>108</v>
      </c>
      <c r="E84" s="5">
        <v>1.0236557851743702</v>
      </c>
    </row>
    <row r="85" spans="1:5" x14ac:dyDescent="0.2">
      <c r="B85" s="3">
        <v>100017</v>
      </c>
      <c r="C85" s="3" t="s">
        <v>27</v>
      </c>
      <c r="D85" s="3" t="s">
        <v>96</v>
      </c>
      <c r="E85" s="5">
        <v>1.1075140841777489</v>
      </c>
    </row>
    <row r="86" spans="1:5" x14ac:dyDescent="0.2">
      <c r="B86" s="3">
        <v>100014</v>
      </c>
      <c r="C86" s="3" t="s">
        <v>27</v>
      </c>
      <c r="D86" s="3" t="s">
        <v>84</v>
      </c>
      <c r="E86" s="5">
        <v>1.1228196240096313</v>
      </c>
    </row>
    <row r="87" spans="1:5" x14ac:dyDescent="0.2">
      <c r="B87" s="3">
        <v>100018</v>
      </c>
      <c r="C87" s="3" t="s">
        <v>27</v>
      </c>
      <c r="D87" s="3" t="s">
        <v>99</v>
      </c>
      <c r="E87" s="5">
        <v>1.2024634840939774</v>
      </c>
    </row>
    <row r="88" spans="1:5" x14ac:dyDescent="0.2">
      <c r="B88" s="3">
        <v>100021</v>
      </c>
      <c r="C88" s="3" t="s">
        <v>27</v>
      </c>
      <c r="D88" s="3" t="s">
        <v>111</v>
      </c>
      <c r="E88" s="5">
        <v>1.2071255429827186</v>
      </c>
    </row>
    <row r="89" spans="1:5" x14ac:dyDescent="0.2">
      <c r="B89" s="3">
        <v>100019</v>
      </c>
      <c r="C89" s="3" t="s">
        <v>27</v>
      </c>
      <c r="D89" s="3" t="s">
        <v>104</v>
      </c>
      <c r="E89" s="5">
        <v>1.2387743540946647</v>
      </c>
    </row>
    <row r="92" spans="1:5" x14ac:dyDescent="0.2">
      <c r="A92" s="3" t="s">
        <v>256</v>
      </c>
    </row>
    <row r="93" spans="1:5" x14ac:dyDescent="0.2">
      <c r="B93" s="3" t="s">
        <v>218</v>
      </c>
      <c r="C93" s="3" t="s">
        <v>27</v>
      </c>
      <c r="D93" t="s">
        <v>217</v>
      </c>
      <c r="E93" s="5">
        <v>34.257652316461737</v>
      </c>
    </row>
    <row r="94" spans="1:5" x14ac:dyDescent="0.2">
      <c r="B94" s="3" t="s">
        <v>237</v>
      </c>
      <c r="C94" s="3" t="s">
        <v>27</v>
      </c>
      <c r="D94" t="s">
        <v>224</v>
      </c>
      <c r="E94" s="5">
        <v>34.257652316461737</v>
      </c>
    </row>
    <row r="95" spans="1:5" x14ac:dyDescent="0.2">
      <c r="B95" s="3" t="s">
        <v>228</v>
      </c>
      <c r="C95" s="3" t="s">
        <v>27</v>
      </c>
      <c r="D95" t="s">
        <v>227</v>
      </c>
      <c r="E95" s="5">
        <v>35.759001435363807</v>
      </c>
    </row>
    <row r="96" spans="1:5" x14ac:dyDescent="0.2">
      <c r="B96" s="3" t="s">
        <v>236</v>
      </c>
      <c r="C96" s="3" t="s">
        <v>27</v>
      </c>
      <c r="D96" t="s">
        <v>234</v>
      </c>
      <c r="E96" s="5">
        <v>35.759001435363807</v>
      </c>
    </row>
    <row r="97" spans="2:5" x14ac:dyDescent="0.2">
      <c r="B97" s="3" t="s">
        <v>236</v>
      </c>
      <c r="C97" s="3" t="s">
        <v>27</v>
      </c>
      <c r="D97" t="s">
        <v>238</v>
      </c>
      <c r="E97" s="5">
        <v>35.759001435363807</v>
      </c>
    </row>
    <row r="98" spans="2:5" x14ac:dyDescent="0.2">
      <c r="B98" s="3">
        <v>100028</v>
      </c>
      <c r="C98" s="3" t="s">
        <v>27</v>
      </c>
      <c r="D98" s="3" t="s">
        <v>140</v>
      </c>
      <c r="E98" s="5">
        <v>85.76637730643553</v>
      </c>
    </row>
    <row r="99" spans="2:5" x14ac:dyDescent="0.2">
      <c r="B99" s="3">
        <v>100016</v>
      </c>
      <c r="C99" s="3" t="s">
        <v>27</v>
      </c>
      <c r="D99" s="3" t="s">
        <v>92</v>
      </c>
      <c r="E99" s="5">
        <v>85.898435591635476</v>
      </c>
    </row>
    <row r="100" spans="2:5" x14ac:dyDescent="0.2">
      <c r="B100" s="3" t="s">
        <v>244</v>
      </c>
      <c r="C100" s="3" t="s">
        <v>27</v>
      </c>
      <c r="D100" s="3" t="s">
        <v>115</v>
      </c>
      <c r="E100" s="5">
        <v>85.927174518856319</v>
      </c>
    </row>
  </sheetData>
  <mergeCells count="1">
    <mergeCell ref="A11:C11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AA1FA8-C284-044B-875D-F8F8871B1672}">
          <x14:formula1>
            <xm:f>'Host Variablen'!$B$2:$B$3</xm:f>
          </x14:formula1>
          <xm:sqref>M11 O11</xm:sqref>
        </x14:dataValidation>
        <x14:dataValidation type="list" allowBlank="1" showInputMessage="1" showErrorMessage="1" xr:uid="{B60A43A2-DFCC-4940-A302-5F5F1547AB22}">
          <x14:formula1>
            <xm:f>'Host Variablen'!$A$2:$A$5</xm:f>
          </x14:formula1>
          <xm:sqref>C13:C32 C35:C46 C49:C75 C78:C89 C93:C100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F9601-38E8-A24C-ABAF-FD059889EED1}">
  <sheetPr codeName="Sheet8" filterMode="1"/>
  <dimension ref="A1:AM62"/>
  <sheetViews>
    <sheetView workbookViewId="0">
      <selection activeCell="D46" sqref="A1:D46"/>
    </sheetView>
  </sheetViews>
  <sheetFormatPr baseColWidth="10" defaultColWidth="11.5" defaultRowHeight="17" customHeight="1" x14ac:dyDescent="0.2"/>
  <cols>
    <col min="1" max="1" width="8.6640625" bestFit="1" customWidth="1"/>
    <col min="2" max="2" width="29.5" bestFit="1" customWidth="1"/>
    <col min="3" max="4" width="29.5" style="5" customWidth="1"/>
    <col min="5" max="5" width="10.6640625" hidden="1" customWidth="1"/>
    <col min="6" max="6" width="11.5" hidden="1" customWidth="1"/>
    <col min="7" max="7" width="14" hidden="1" customWidth="1"/>
    <col min="8" max="8" width="17.1640625" hidden="1" customWidth="1"/>
    <col min="9" max="9" width="10.6640625" hidden="1" customWidth="1"/>
    <col min="10" max="10" width="6" hidden="1" customWidth="1"/>
    <col min="11" max="11" width="8.33203125" hidden="1" customWidth="1"/>
    <col min="12" max="12" width="10" hidden="1" customWidth="1"/>
    <col min="13" max="13" width="11.83203125" hidden="1" customWidth="1"/>
    <col min="14" max="14" width="15" hidden="1" customWidth="1"/>
    <col min="15" max="15" width="20.6640625" hidden="1" customWidth="1"/>
    <col min="16" max="17" width="24.33203125" bestFit="1" customWidth="1"/>
    <col min="18" max="18" width="17.33203125" style="4" hidden="1" customWidth="1"/>
    <col min="19" max="19" width="12.83203125" hidden="1" customWidth="1"/>
    <col min="20" max="20" width="8.1640625" style="4" hidden="1" customWidth="1"/>
    <col min="21" max="21" width="13.33203125" hidden="1" customWidth="1"/>
    <col min="22" max="22" width="12.5" style="4" hidden="1" customWidth="1"/>
    <col min="23" max="23" width="15.5" hidden="1" customWidth="1"/>
    <col min="24" max="24" width="14.6640625" style="4" hidden="1" customWidth="1"/>
    <col min="25" max="25" width="4.6640625" hidden="1" customWidth="1"/>
    <col min="26" max="26" width="8.6640625" style="4" hidden="1" customWidth="1"/>
    <col min="27" max="27" width="4.5" hidden="1" customWidth="1"/>
    <col min="28" max="28" width="7.83203125" style="4" hidden="1" customWidth="1"/>
    <col min="29" max="29" width="211" hidden="1" customWidth="1"/>
    <col min="30" max="30" width="0" hidden="1" customWidth="1"/>
    <col min="31" max="31" width="6.33203125" bestFit="1" customWidth="1"/>
    <col min="32" max="32" width="8.33203125" bestFit="1" customWidth="1"/>
    <col min="33" max="33" width="6.33203125" bestFit="1" customWidth="1"/>
    <col min="34" max="34" width="9.1640625" bestFit="1" customWidth="1"/>
    <col min="35" max="38" width="24.33203125" bestFit="1" customWidth="1"/>
    <col min="41" max="42" width="13.5" bestFit="1" customWidth="1"/>
  </cols>
  <sheetData>
    <row r="1" spans="1:33" ht="17" customHeight="1" x14ac:dyDescent="0.2">
      <c r="A1" s="1" t="s">
        <v>0</v>
      </c>
      <c r="B1" s="1" t="s">
        <v>2</v>
      </c>
      <c r="C1" s="10"/>
      <c r="D1" s="10" t="s">
        <v>275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33" ht="17" hidden="1" customHeight="1" x14ac:dyDescent="0.2">
      <c r="A2" s="3">
        <v>100023</v>
      </c>
      <c r="B2" s="3" t="s">
        <v>27</v>
      </c>
      <c r="C2" s="3" t="s">
        <v>121</v>
      </c>
      <c r="D2" s="5">
        <v>0.13988641934329407</v>
      </c>
      <c r="E2" s="3" t="s">
        <v>123</v>
      </c>
      <c r="F2" s="3" t="s">
        <v>122</v>
      </c>
      <c r="G2" s="3" t="s">
        <v>124</v>
      </c>
      <c r="H2" s="3" t="s">
        <v>125</v>
      </c>
      <c r="I2" s="3">
        <v>7</v>
      </c>
      <c r="J2" s="3">
        <v>8001</v>
      </c>
      <c r="K2" s="3" t="s">
        <v>33</v>
      </c>
      <c r="L2" s="3" t="s">
        <v>34</v>
      </c>
      <c r="M2" s="3"/>
      <c r="N2" s="3" t="s">
        <v>35</v>
      </c>
      <c r="O2" s="3" t="s">
        <v>36</v>
      </c>
      <c r="P2" s="3" t="s">
        <v>186</v>
      </c>
      <c r="Q2" s="3" t="s">
        <v>190</v>
      </c>
      <c r="R2" s="4">
        <v>30</v>
      </c>
      <c r="S2" s="3" t="s">
        <v>36</v>
      </c>
      <c r="T2" s="4">
        <v>15</v>
      </c>
      <c r="U2" s="3" t="s">
        <v>36</v>
      </c>
      <c r="V2" s="4">
        <v>15</v>
      </c>
      <c r="W2" s="3" t="s">
        <v>37</v>
      </c>
      <c r="X2" s="4">
        <v>8</v>
      </c>
      <c r="Y2" s="3" t="s">
        <v>36</v>
      </c>
      <c r="Z2" s="4">
        <v>10</v>
      </c>
      <c r="AA2" s="3" t="s">
        <v>36</v>
      </c>
      <c r="AB2" s="4">
        <v>10</v>
      </c>
      <c r="AC2" t="str">
        <f>_xlfn.TEXTJOIN(",",,"INSERT INTO assetList VALUES (",A2,B2,C2,F2,E2,G2,H2,I2,J2,K2,L2,N2,P2,Q2,R2,S2,T2,U2,V2,W2,X2,Y2,Z2,AA2,AB2,")")</f>
        <v>INSERT INTO assetList VALUES (,100023,Hotel,Hotel Schweizerhof,8.53945,47.37697,4*,Bahnhofplatz,7,8001,Zürich,Switzerland,SingleStandard,2021-06-10 14:45:00.000000,2021-08-19 15:00:00.000000,30,true,15,true,15,false,8,true,10,true,10,)</v>
      </c>
      <c r="AG2" s="2"/>
    </row>
    <row r="3" spans="1:33" ht="17" hidden="1" customHeight="1" x14ac:dyDescent="0.2">
      <c r="A3" s="3">
        <v>100031</v>
      </c>
      <c r="B3" s="3" t="s">
        <v>27</v>
      </c>
      <c r="C3" s="3" t="s">
        <v>150</v>
      </c>
      <c r="D3" s="5">
        <v>0.18672547178856308</v>
      </c>
      <c r="E3" s="3" t="s">
        <v>152</v>
      </c>
      <c r="F3" s="3" t="s">
        <v>151</v>
      </c>
      <c r="G3" s="3" t="s">
        <v>124</v>
      </c>
      <c r="H3" s="3" t="s">
        <v>153</v>
      </c>
      <c r="I3" s="3">
        <v>87</v>
      </c>
      <c r="J3" s="3">
        <v>8001</v>
      </c>
      <c r="K3" s="3" t="s">
        <v>33</v>
      </c>
      <c r="L3" s="3" t="s">
        <v>34</v>
      </c>
      <c r="M3" s="3"/>
      <c r="N3" s="3" t="s">
        <v>103</v>
      </c>
      <c r="O3" s="3" t="s">
        <v>36</v>
      </c>
      <c r="P3" s="3" t="s">
        <v>188</v>
      </c>
      <c r="Q3" s="3" t="s">
        <v>190</v>
      </c>
      <c r="R3" s="4">
        <v>36</v>
      </c>
      <c r="S3" s="3" t="s">
        <v>36</v>
      </c>
      <c r="T3" s="4">
        <v>15</v>
      </c>
      <c r="U3" s="3" t="s">
        <v>36</v>
      </c>
      <c r="V3" s="4">
        <v>15</v>
      </c>
      <c r="W3" s="3" t="s">
        <v>37</v>
      </c>
      <c r="X3" s="4">
        <v>8</v>
      </c>
      <c r="Y3" s="3" t="s">
        <v>36</v>
      </c>
      <c r="Z3" s="4">
        <v>10</v>
      </c>
      <c r="AA3" s="3" t="s">
        <v>36</v>
      </c>
      <c r="AB3" s="4">
        <v>10</v>
      </c>
      <c r="AC3" t="str">
        <f>_xlfn.TEXTJOIN(",",,"INSERT INTO assetList VALUES (",A3,B3,C3,F3,E3,G3,H3,I3,J3,K3,L3,N3,P3,Q3,R3,S3,T3,U3,V3,W3,X3,Y3,Z3,AA3,AB3,")")</f>
        <v>INSERT INTO assetList VALUES (,100031,Hotel,Hotel St. Gothard,8.53939,47.37641,4*,Bahnhofstrasse,87,8001,Zürich,Switzerland,DoubleBusiness,2021-06-10 16:00:00.000000,2021-08-19 15:00:00.000000,36,true,15,true,15,false,8,true,10,true,10,)</v>
      </c>
      <c r="AG3" s="2"/>
    </row>
    <row r="4" spans="1:33" ht="17" hidden="1" customHeight="1" x14ac:dyDescent="0.2">
      <c r="A4" s="3">
        <v>100015</v>
      </c>
      <c r="B4" s="3" t="s">
        <v>27</v>
      </c>
      <c r="C4" s="3" t="s">
        <v>88</v>
      </c>
      <c r="D4" s="5">
        <v>0.22556124661524329</v>
      </c>
      <c r="E4" s="3" t="s">
        <v>90</v>
      </c>
      <c r="F4" s="3" t="s">
        <v>89</v>
      </c>
      <c r="G4" s="3" t="s">
        <v>31</v>
      </c>
      <c r="H4" s="3" t="s">
        <v>91</v>
      </c>
      <c r="I4" s="3">
        <v>7</v>
      </c>
      <c r="J4" s="3">
        <v>8001</v>
      </c>
      <c r="K4" s="3" t="s">
        <v>33</v>
      </c>
      <c r="L4" s="3" t="s">
        <v>34</v>
      </c>
      <c r="M4" s="3"/>
      <c r="N4" s="3" t="s">
        <v>53</v>
      </c>
      <c r="O4" s="3" t="s">
        <v>36</v>
      </c>
      <c r="P4" s="3" t="s">
        <v>272</v>
      </c>
      <c r="Q4" s="3" t="s">
        <v>273</v>
      </c>
      <c r="R4" s="4">
        <v>25</v>
      </c>
      <c r="S4" s="3" t="s">
        <v>36</v>
      </c>
      <c r="T4" s="4">
        <v>10</v>
      </c>
      <c r="U4" s="3" t="s">
        <v>36</v>
      </c>
      <c r="V4" s="4">
        <v>10</v>
      </c>
      <c r="W4" s="3" t="s">
        <v>37</v>
      </c>
      <c r="X4" s="4">
        <v>5</v>
      </c>
      <c r="Y4" s="3" t="s">
        <v>37</v>
      </c>
      <c r="Z4" s="4">
        <v>10</v>
      </c>
      <c r="AA4" s="3" t="s">
        <v>37</v>
      </c>
      <c r="AB4" s="4">
        <v>10</v>
      </c>
      <c r="AC4" t="str">
        <f>_xlfn.TEXTJOIN(",",,"INSERT INTO assetList VALUES (",A4,B4,C4,F4,E4,G4,H4,I4,J4,K4,L4,N4,P4,Q4,R4,S4,T4,U4,V4,W4,X4,Y4,Z4,AA4,AB4,")")</f>
        <v>INSERT INTO assetList VALUES (,100015,Hotel,Hotel Townhouse,8.54007,47.37631,3*,Schützengasse,7,8001,Zürich,Switzerland,DoubleStandard,2021-06-11 14:00:00.000000,2021-06-12 17:00:00.000000,25,true,10,true,10,false,5,false,10,false,10,)</v>
      </c>
      <c r="AG4" s="2"/>
    </row>
    <row r="5" spans="1:33" ht="17" hidden="1" customHeight="1" x14ac:dyDescent="0.2">
      <c r="A5" s="3">
        <v>100016</v>
      </c>
      <c r="B5" s="3" t="s">
        <v>27</v>
      </c>
      <c r="C5" s="3" t="s">
        <v>92</v>
      </c>
      <c r="D5" s="5">
        <v>0.27816431397965502</v>
      </c>
      <c r="E5" s="3" t="s">
        <v>94</v>
      </c>
      <c r="F5" s="3" t="s">
        <v>93</v>
      </c>
      <c r="G5" s="3" t="s">
        <v>31</v>
      </c>
      <c r="H5" s="3" t="s">
        <v>95</v>
      </c>
      <c r="I5" s="3">
        <v>5</v>
      </c>
      <c r="J5" s="3">
        <v>8005</v>
      </c>
      <c r="K5" s="3" t="s">
        <v>33</v>
      </c>
      <c r="L5" s="3" t="s">
        <v>34</v>
      </c>
      <c r="M5" s="3"/>
      <c r="N5" s="3" t="s">
        <v>53</v>
      </c>
      <c r="O5" s="3" t="s">
        <v>36</v>
      </c>
      <c r="P5" s="3" t="s">
        <v>272</v>
      </c>
      <c r="Q5" s="3" t="s">
        <v>273</v>
      </c>
      <c r="R5" s="4">
        <v>25</v>
      </c>
      <c r="S5" s="3" t="s">
        <v>36</v>
      </c>
      <c r="T5" s="4">
        <v>10</v>
      </c>
      <c r="U5" s="3" t="s">
        <v>36</v>
      </c>
      <c r="V5" s="4">
        <v>10</v>
      </c>
      <c r="W5" s="3" t="s">
        <v>36</v>
      </c>
      <c r="X5" s="4">
        <v>5</v>
      </c>
      <c r="Y5" s="3" t="s">
        <v>37</v>
      </c>
      <c r="Z5" s="4">
        <v>10</v>
      </c>
      <c r="AA5" s="3" t="s">
        <v>37</v>
      </c>
      <c r="AB5" s="4">
        <v>10</v>
      </c>
      <c r="AC5" t="str">
        <f>_xlfn.TEXTJOIN(",",,"INSERT INTO assetList VALUES (",A5,B5,C5,F5,E5,G5,H5,I5,J5,K5,L5,N5,P5,Q5,R5,S5,T5,U5,V5,W5,X5,Y5,Z5,AA5,AB5,")")</f>
        <v>INSERT INTO assetList VALUES (,100016,Hotel,Hotel Walhalla Zürich,8.53721,47.38028,3*,Limmatstrasse,5,8005,Zürich,Switzerland,DoubleStandard,2021-06-11 14:00:00.000000,2021-06-12 17:00:00.000000,25,true,10,true,10,true,5,false,10,false,10,)</v>
      </c>
    </row>
    <row r="6" spans="1:33" ht="17" hidden="1" customHeight="1" x14ac:dyDescent="0.2">
      <c r="A6" s="3">
        <v>100025</v>
      </c>
      <c r="B6" s="3" t="s">
        <v>27</v>
      </c>
      <c r="C6" s="3" t="s">
        <v>130</v>
      </c>
      <c r="D6" s="5">
        <v>0.42175270879781357</v>
      </c>
      <c r="E6" s="3" t="s">
        <v>132</v>
      </c>
      <c r="F6" s="3" t="s">
        <v>131</v>
      </c>
      <c r="G6" s="3" t="s">
        <v>124</v>
      </c>
      <c r="H6" s="3" t="s">
        <v>133</v>
      </c>
      <c r="I6" s="3">
        <v>1</v>
      </c>
      <c r="J6" s="3">
        <v>8001</v>
      </c>
      <c r="K6" s="3" t="s">
        <v>33</v>
      </c>
      <c r="L6" s="3" t="s">
        <v>34</v>
      </c>
      <c r="M6" s="3"/>
      <c r="N6" s="3" t="s">
        <v>53</v>
      </c>
      <c r="O6" s="3" t="s">
        <v>36</v>
      </c>
      <c r="P6" s="3" t="s">
        <v>187</v>
      </c>
      <c r="Q6" s="3" t="s">
        <v>190</v>
      </c>
      <c r="R6" s="4">
        <v>32</v>
      </c>
      <c r="S6" s="3" t="s">
        <v>36</v>
      </c>
      <c r="T6" s="4">
        <v>15</v>
      </c>
      <c r="U6" s="3" t="s">
        <v>36</v>
      </c>
      <c r="V6" s="4">
        <v>15</v>
      </c>
      <c r="W6" s="3" t="s">
        <v>37</v>
      </c>
      <c r="X6" s="4">
        <v>8</v>
      </c>
      <c r="Y6" s="3" t="s">
        <v>36</v>
      </c>
      <c r="Z6" s="4">
        <v>10</v>
      </c>
      <c r="AA6" s="3" t="s">
        <v>36</v>
      </c>
      <c r="AB6" s="4">
        <v>10</v>
      </c>
      <c r="AC6" t="str">
        <f>_xlfn.TEXTJOIN(",",,"INSERT INTO assetList VALUES (",A6,B6,C6,F6,E6,G6,H6,I6,J6,K6,L6,N6,P6,Q6,R6,S6,T6,U6,V6,W6,X6,Y6,Z6,AA6,AB6,")")</f>
        <v>INSERT INTO assetList VALUES (,100025,Hotel,Hotel Central Plaza,8.5436,47.37703,4*,Central,1,8001,Zürich,Switzerland,DoubleStandard,2021-06-10 15:00:00.000000,2021-08-19 15:00:00.000000,32,true,15,true,15,false,8,true,10,true,10,)</v>
      </c>
    </row>
    <row r="7" spans="1:33" ht="17" hidden="1" customHeight="1" x14ac:dyDescent="0.2">
      <c r="A7" s="3">
        <v>100019</v>
      </c>
      <c r="B7" s="3" t="s">
        <v>27</v>
      </c>
      <c r="C7" s="3" t="s">
        <v>104</v>
      </c>
      <c r="D7" s="5">
        <v>0.45082568789878119</v>
      </c>
      <c r="E7" s="3" t="s">
        <v>106</v>
      </c>
      <c r="F7" s="3" t="s">
        <v>105</v>
      </c>
      <c r="G7" s="3" t="s">
        <v>31</v>
      </c>
      <c r="H7" s="3" t="s">
        <v>107</v>
      </c>
      <c r="I7" s="3">
        <v>34</v>
      </c>
      <c r="J7" s="3">
        <v>8006</v>
      </c>
      <c r="K7" s="3" t="s">
        <v>33</v>
      </c>
      <c r="L7" s="3" t="s">
        <v>34</v>
      </c>
      <c r="M7" s="3"/>
      <c r="N7" s="3" t="s">
        <v>103</v>
      </c>
      <c r="O7" s="3" t="s">
        <v>36</v>
      </c>
      <c r="P7" s="3" t="s">
        <v>272</v>
      </c>
      <c r="Q7" s="3" t="s">
        <v>273</v>
      </c>
      <c r="R7" s="4">
        <v>27</v>
      </c>
      <c r="S7" s="3" t="s">
        <v>36</v>
      </c>
      <c r="T7" s="4">
        <v>10</v>
      </c>
      <c r="U7" s="3" t="s">
        <v>36</v>
      </c>
      <c r="V7" s="4">
        <v>10</v>
      </c>
      <c r="W7" s="3" t="s">
        <v>36</v>
      </c>
      <c r="X7" s="4">
        <v>5</v>
      </c>
      <c r="Y7" s="3" t="s">
        <v>37</v>
      </c>
      <c r="Z7" s="4">
        <v>10</v>
      </c>
      <c r="AA7" s="3" t="s">
        <v>37</v>
      </c>
      <c r="AB7" s="4">
        <v>10</v>
      </c>
      <c r="AC7" t="str">
        <f>_xlfn.TEXTJOIN(",",,"INSERT INTO assetList VALUES (",A7,B7,C7,F7,E7,G7,H7,I7,J7,K7,L7,N7,P7,Q7,R7,S7,T7,U7,V7,W7,X7,Y7,Z7,AA7,AB7,")")</f>
        <v>INSERT INTO assetList VALUES (,100019,Hotel,Hotel Garni Bristol ,8.54349,47.37967,3*,Stampfenbachstrasse,34,8006,Zürich,Switzerland,DoubleBusiness,2021-06-11 14:00:00.000000,2021-06-12 17:00:00.000000,27,true,10,true,10,true,5,false,10,false,10,)</v>
      </c>
    </row>
    <row r="8" spans="1:33" ht="17" customHeight="1" x14ac:dyDescent="0.2">
      <c r="A8" s="3" t="s">
        <v>196</v>
      </c>
      <c r="B8" s="3" t="s">
        <v>27</v>
      </c>
      <c r="C8" s="3" t="s">
        <v>46</v>
      </c>
      <c r="D8" s="5">
        <v>0.514494133985542</v>
      </c>
      <c r="E8" s="3" t="s">
        <v>48</v>
      </c>
      <c r="F8" s="3" t="s">
        <v>47</v>
      </c>
      <c r="G8" s="3" t="s">
        <v>31</v>
      </c>
      <c r="H8" s="3" t="s">
        <v>49</v>
      </c>
      <c r="I8" s="3">
        <v>43</v>
      </c>
      <c r="J8" s="3">
        <v>8001</v>
      </c>
      <c r="K8" s="3" t="s">
        <v>33</v>
      </c>
      <c r="L8" s="3" t="s">
        <v>34</v>
      </c>
      <c r="M8" s="3"/>
      <c r="N8" s="3" t="s">
        <v>35</v>
      </c>
      <c r="O8" s="3" t="s">
        <v>36</v>
      </c>
      <c r="P8" s="3" t="s">
        <v>183</v>
      </c>
      <c r="Q8" s="3" t="s">
        <v>189</v>
      </c>
      <c r="R8" s="4">
        <v>20</v>
      </c>
      <c r="S8" s="3" t="s">
        <v>36</v>
      </c>
      <c r="T8" s="4">
        <v>10</v>
      </c>
      <c r="U8" s="3" t="s">
        <v>36</v>
      </c>
      <c r="V8" s="4">
        <v>10</v>
      </c>
      <c r="W8" s="3" t="s">
        <v>36</v>
      </c>
      <c r="X8" s="4">
        <v>5</v>
      </c>
      <c r="Y8" s="3" t="s">
        <v>37</v>
      </c>
      <c r="Z8" s="4">
        <v>10</v>
      </c>
      <c r="AA8" s="3" t="s">
        <v>36</v>
      </c>
      <c r="AB8" s="4">
        <v>10</v>
      </c>
      <c r="AC8" t="str">
        <f>_xlfn.TEXTJOIN(",",,"INSERT INTO assetList VALUES (",A8,B8,C8,F8,E8,G8,H8,I8,J8,K8,L8,N8,P8,Q8,R8,S8,T8,U8,V8,W8,X8,Y8,Z8,AA8,AB8,")")</f>
        <v>INSERT INTO assetList VALUES (,100004.1,Hotel,Hotel Sorell Rüti,8.54449,47.37616,3*,Zähringerstrasse,43,8001,Zürich,Switzerland,SingleStandard,2021-06-10 13:00:00.000000,2021-06-11 12:00:00.000000,20,true,10,true,10,true,5,false,10,true,10,)</v>
      </c>
    </row>
    <row r="9" spans="1:33" ht="17" customHeight="1" x14ac:dyDescent="0.2">
      <c r="A9" s="3" t="s">
        <v>201</v>
      </c>
      <c r="B9" s="3" t="s">
        <v>27</v>
      </c>
      <c r="C9" s="3" t="s">
        <v>46</v>
      </c>
      <c r="D9" s="5">
        <v>0.514494133985542</v>
      </c>
      <c r="E9" s="3" t="s">
        <v>48</v>
      </c>
      <c r="F9" s="3" t="s">
        <v>47</v>
      </c>
      <c r="G9" s="3" t="s">
        <v>31</v>
      </c>
      <c r="H9" s="3" t="s">
        <v>49</v>
      </c>
      <c r="I9" s="3">
        <v>43</v>
      </c>
      <c r="J9" s="3">
        <v>8001</v>
      </c>
      <c r="K9" s="3" t="s">
        <v>33</v>
      </c>
      <c r="L9" s="3" t="s">
        <v>34</v>
      </c>
      <c r="M9" s="3"/>
      <c r="N9" s="3" t="s">
        <v>103</v>
      </c>
      <c r="O9" s="3" t="s">
        <v>36</v>
      </c>
      <c r="P9" s="3" t="s">
        <v>183</v>
      </c>
      <c r="Q9" s="3" t="s">
        <v>189</v>
      </c>
      <c r="R9" s="4">
        <v>30</v>
      </c>
      <c r="S9" s="3" t="s">
        <v>36</v>
      </c>
      <c r="T9" s="4">
        <v>10</v>
      </c>
      <c r="U9" s="3" t="s">
        <v>36</v>
      </c>
      <c r="V9" s="4">
        <v>10</v>
      </c>
      <c r="W9" s="3" t="s">
        <v>36</v>
      </c>
      <c r="X9" s="4">
        <v>5</v>
      </c>
      <c r="Y9" s="3" t="s">
        <v>37</v>
      </c>
      <c r="Z9" s="4">
        <v>10</v>
      </c>
      <c r="AA9" s="3" t="s">
        <v>36</v>
      </c>
      <c r="AB9" s="4">
        <v>10</v>
      </c>
      <c r="AC9" t="str">
        <f>_xlfn.TEXTJOIN(",",,"INSERT INTO assetList VALUES (",A9,B9,C9,F9,E9,G9,H9,I9,J9,K9,L9,N9,P9,Q9,R9,S9,T9,U9,V9,W9,X9,Y9,Z9,AA9,AB9,")")</f>
        <v>INSERT INTO assetList VALUES (,100004.2,Hotel,Hotel Sorell Rüti,8.54449,47.37616,3*,Zähringerstrasse,43,8001,Zürich,Switzerland,DoubleBusiness,2021-06-10 13:00:00.000000,2021-06-11 12:00:00.000000,30,true,10,true,10,true,5,false,10,true,10,)</v>
      </c>
    </row>
    <row r="10" spans="1:33" ht="17" hidden="1" customHeight="1" x14ac:dyDescent="0.2">
      <c r="A10" s="3" t="s">
        <v>248</v>
      </c>
      <c r="B10" s="3" t="s">
        <v>27</v>
      </c>
      <c r="C10" s="3" t="s">
        <v>134</v>
      </c>
      <c r="D10" s="5">
        <v>0.514494133985542</v>
      </c>
      <c r="E10" s="3" t="s">
        <v>48</v>
      </c>
      <c r="F10" s="3" t="s">
        <v>47</v>
      </c>
      <c r="G10" s="3" t="s">
        <v>124</v>
      </c>
      <c r="H10" s="3" t="s">
        <v>135</v>
      </c>
      <c r="I10" s="3">
        <v>1</v>
      </c>
      <c r="J10" s="3">
        <v>8006</v>
      </c>
      <c r="K10" s="3" t="s">
        <v>33</v>
      </c>
      <c r="L10" s="3" t="s">
        <v>34</v>
      </c>
      <c r="M10" s="3"/>
      <c r="N10" s="3" t="s">
        <v>35</v>
      </c>
      <c r="O10" s="3" t="s">
        <v>36</v>
      </c>
      <c r="P10" s="3" t="s">
        <v>187</v>
      </c>
      <c r="Q10" s="3" t="s">
        <v>190</v>
      </c>
      <c r="R10" s="4">
        <v>32</v>
      </c>
      <c r="S10" s="3" t="s">
        <v>36</v>
      </c>
      <c r="T10" s="4">
        <v>12</v>
      </c>
      <c r="U10" s="3" t="s">
        <v>36</v>
      </c>
      <c r="V10" s="4">
        <v>12</v>
      </c>
      <c r="W10" s="3" t="s">
        <v>37</v>
      </c>
      <c r="X10" s="4">
        <v>8</v>
      </c>
      <c r="Y10" s="3" t="s">
        <v>36</v>
      </c>
      <c r="Z10" s="4">
        <v>10</v>
      </c>
      <c r="AA10" s="3" t="s">
        <v>36</v>
      </c>
      <c r="AB10" s="4">
        <v>10</v>
      </c>
      <c r="AC10" t="str">
        <f>_xlfn.TEXTJOIN(",",,"INSERT INTO assetList VALUES (",A10,B10,C10,F10,E10,G10,H10,I10,J10,K10,L10,N10,P10,Q10,R10,S10,T10,U10,V10,W10,X10,Y10,Z10,AA10,AB10,")")</f>
        <v>INSERT INTO assetList VALUES (,100026.1,Hotel,Hotel EMA House Suites,8.54449,47.37616,4*,Nordstrasse,1,8006,Zürich,Switzerland,SingleStandard,2021-06-10 15:00:00.000000,2021-08-19 15:00:00.000000,32,true,12,true,12,false,8,true,10,true,10,)</v>
      </c>
    </row>
    <row r="11" spans="1:33" ht="17" hidden="1" customHeight="1" x14ac:dyDescent="0.2">
      <c r="A11" s="3" t="s">
        <v>249</v>
      </c>
      <c r="B11" s="3" t="s">
        <v>27</v>
      </c>
      <c r="C11" s="3" t="s">
        <v>134</v>
      </c>
      <c r="D11" s="5">
        <v>0.514494133985542</v>
      </c>
      <c r="E11" s="3" t="s">
        <v>48</v>
      </c>
      <c r="F11" s="3" t="s">
        <v>47</v>
      </c>
      <c r="G11" s="3" t="s">
        <v>124</v>
      </c>
      <c r="H11" s="3" t="s">
        <v>135</v>
      </c>
      <c r="I11" s="3">
        <v>1</v>
      </c>
      <c r="J11" s="3">
        <v>8006</v>
      </c>
      <c r="K11" s="3" t="s">
        <v>33</v>
      </c>
      <c r="L11" s="3" t="s">
        <v>34</v>
      </c>
      <c r="M11" s="3"/>
      <c r="N11" s="3" t="s">
        <v>53</v>
      </c>
      <c r="O11" s="3" t="s">
        <v>36</v>
      </c>
      <c r="P11" s="3" t="s">
        <v>187</v>
      </c>
      <c r="Q11" s="3" t="s">
        <v>190</v>
      </c>
      <c r="R11" s="4">
        <v>34</v>
      </c>
      <c r="S11" s="3" t="s">
        <v>36</v>
      </c>
      <c r="T11" s="4">
        <v>15</v>
      </c>
      <c r="U11" s="3" t="s">
        <v>36</v>
      </c>
      <c r="V11" s="4">
        <v>15</v>
      </c>
      <c r="W11" s="3" t="s">
        <v>37</v>
      </c>
      <c r="X11" s="4">
        <v>8</v>
      </c>
      <c r="Y11" s="3" t="s">
        <v>36</v>
      </c>
      <c r="Z11" s="4">
        <v>10</v>
      </c>
      <c r="AA11" s="3" t="s">
        <v>36</v>
      </c>
      <c r="AB11" s="4">
        <v>10</v>
      </c>
      <c r="AC11" t="str">
        <f>_xlfn.TEXTJOIN(",",,"INSERT INTO assetList VALUES (",A11,B11,C11,F11,E11,G11,H11,I11,J11,K11,L11,N11,P11,Q11,R11,S11,T11,U11,V11,W11,X11,Y11,Z11,AA11,AB11,")")</f>
        <v>INSERT INTO assetList VALUES (,100026.2,Hotel,Hotel EMA House Suites,8.54449,47.37616,4*,Nordstrasse,1,8006,Zürich,Switzerland,DoubleStandard,2021-06-10 15:00:00.000000,2021-08-19 15:00:00.000000,34,true,15,true,15,false,8,true,10,true,10,)</v>
      </c>
    </row>
    <row r="12" spans="1:33" ht="17" hidden="1" customHeight="1" x14ac:dyDescent="0.2">
      <c r="A12" s="3">
        <v>100017</v>
      </c>
      <c r="B12" s="3" t="s">
        <v>27</v>
      </c>
      <c r="C12" s="3" t="s">
        <v>96</v>
      </c>
      <c r="D12" s="5">
        <v>0.52566303635270972</v>
      </c>
      <c r="E12" s="3" t="s">
        <v>98</v>
      </c>
      <c r="F12" s="3" t="s">
        <v>97</v>
      </c>
      <c r="G12" s="3" t="s">
        <v>31</v>
      </c>
      <c r="H12" s="3" t="s">
        <v>49</v>
      </c>
      <c r="I12" s="3">
        <v>21</v>
      </c>
      <c r="J12" s="3">
        <v>8001</v>
      </c>
      <c r="K12" s="3" t="s">
        <v>33</v>
      </c>
      <c r="L12" s="3" t="s">
        <v>34</v>
      </c>
      <c r="M12" s="3"/>
      <c r="N12" s="3" t="s">
        <v>53</v>
      </c>
      <c r="O12" s="3" t="s">
        <v>36</v>
      </c>
      <c r="P12" s="3" t="s">
        <v>272</v>
      </c>
      <c r="Q12" s="3" t="s">
        <v>273</v>
      </c>
      <c r="R12" s="4">
        <v>25</v>
      </c>
      <c r="S12" s="3" t="s">
        <v>36</v>
      </c>
      <c r="T12" s="4">
        <v>10</v>
      </c>
      <c r="U12" s="3" t="s">
        <v>36</v>
      </c>
      <c r="V12" s="4">
        <v>10</v>
      </c>
      <c r="W12" s="3" t="s">
        <v>36</v>
      </c>
      <c r="X12" s="4">
        <v>5</v>
      </c>
      <c r="Y12" s="3" t="s">
        <v>37</v>
      </c>
      <c r="Z12" s="4">
        <v>10</v>
      </c>
      <c r="AA12" s="3" t="s">
        <v>37</v>
      </c>
      <c r="AB12" s="4">
        <v>10</v>
      </c>
      <c r="AC12" t="str">
        <f>_xlfn.TEXTJOIN(",",,"INSERT INTO assetList VALUES (",A12,B12,C12,F12,E12,G12,H12,I12,J12,K12,L12,N12,P12,Q12,R12,S12,T12,U12,V12,W12,X12,Y12,Z12,AA12,AB12,")")</f>
        <v>INSERT INTO assetList VALUES (,100017,Hotel,Hotel Zürcherhof Beste Western Plus,8.54433,47.37568,3*,Zähringerstrasse,21,8001,Zürich,Switzerland,DoubleStandard,2021-06-11 14:00:00.000000,2021-06-12 17:00:00.000000,25,true,10,true,10,true,5,false,10,false,10,)</v>
      </c>
    </row>
    <row r="13" spans="1:33" ht="17" hidden="1" customHeight="1" x14ac:dyDescent="0.2">
      <c r="A13" s="3">
        <v>100028</v>
      </c>
      <c r="B13" s="3" t="s">
        <v>27</v>
      </c>
      <c r="C13" s="3" t="s">
        <v>140</v>
      </c>
      <c r="D13" s="5">
        <v>0.52797365719537448</v>
      </c>
      <c r="E13" s="3" t="s">
        <v>68</v>
      </c>
      <c r="F13" s="3" t="s">
        <v>141</v>
      </c>
      <c r="G13" s="3" t="s">
        <v>124</v>
      </c>
      <c r="H13" s="3" t="s">
        <v>142</v>
      </c>
      <c r="I13" s="3">
        <v>31</v>
      </c>
      <c r="J13" s="3">
        <v>8001</v>
      </c>
      <c r="K13" s="3" t="s">
        <v>33</v>
      </c>
      <c r="L13" s="3" t="s">
        <v>34</v>
      </c>
      <c r="M13" s="3"/>
      <c r="N13" s="3" t="s">
        <v>143</v>
      </c>
      <c r="O13" s="3" t="s">
        <v>36</v>
      </c>
      <c r="P13" s="3" t="s">
        <v>187</v>
      </c>
      <c r="Q13" s="3" t="s">
        <v>190</v>
      </c>
      <c r="R13" s="4">
        <v>34</v>
      </c>
      <c r="S13" s="3" t="s">
        <v>36</v>
      </c>
      <c r="T13" s="4">
        <v>15</v>
      </c>
      <c r="U13" s="3" t="s">
        <v>36</v>
      </c>
      <c r="V13" s="4">
        <v>15</v>
      </c>
      <c r="W13" s="3" t="s">
        <v>37</v>
      </c>
      <c r="X13" s="4">
        <v>8</v>
      </c>
      <c r="Y13" s="3" t="s">
        <v>36</v>
      </c>
      <c r="Z13" s="4">
        <v>10</v>
      </c>
      <c r="AA13" s="3" t="s">
        <v>36</v>
      </c>
      <c r="AB13" s="4">
        <v>10</v>
      </c>
      <c r="AC13" t="str">
        <f>_xlfn.TEXTJOIN(",",,"INSERT INTO assetList VALUES (",A13,B13,C13,F13,E13,G13,H13,I13,J13,K13,L13,N13,P13,Q13,R13,S13,T13,U13,V13,W13,X13,Y13,Z13,AA13,AB13,")")</f>
        <v>INSERT INTO assetList VALUES (,100028,Hotel,Hotel Glockenhof Zürich,8.53685,47.37319,4*,Sihlstrasse,31,8001,Zürich,Switzerland,DoubleSuperior,2021-06-10 15:00:00.000000,2021-08-19 15:00:00.000000,34,true,15,true,15,false,8,true,10,true,10,)</v>
      </c>
    </row>
    <row r="14" spans="1:33" ht="17" customHeight="1" x14ac:dyDescent="0.2">
      <c r="A14" s="3">
        <v>100008</v>
      </c>
      <c r="B14" s="3" t="s">
        <v>27</v>
      </c>
      <c r="C14" s="3" t="s">
        <v>62</v>
      </c>
      <c r="D14" s="5">
        <v>0.53329717365596241</v>
      </c>
      <c r="E14" s="3" t="s">
        <v>64</v>
      </c>
      <c r="F14" s="3" t="s">
        <v>63</v>
      </c>
      <c r="G14" s="3" t="s">
        <v>31</v>
      </c>
      <c r="H14" s="3" t="s">
        <v>65</v>
      </c>
      <c r="I14" s="3">
        <v>6</v>
      </c>
      <c r="J14" s="3">
        <v>8001</v>
      </c>
      <c r="K14" s="3" t="s">
        <v>33</v>
      </c>
      <c r="L14" s="3" t="s">
        <v>34</v>
      </c>
      <c r="M14" s="3"/>
      <c r="N14" s="3" t="s">
        <v>53</v>
      </c>
      <c r="O14" s="3" t="s">
        <v>36</v>
      </c>
      <c r="P14" s="3" t="s">
        <v>184</v>
      </c>
      <c r="Q14" s="3" t="s">
        <v>189</v>
      </c>
      <c r="R14" s="4">
        <v>23</v>
      </c>
      <c r="S14" s="3" t="s">
        <v>36</v>
      </c>
      <c r="T14" s="4">
        <v>10</v>
      </c>
      <c r="U14" s="3" t="s">
        <v>36</v>
      </c>
      <c r="V14" s="4">
        <v>10</v>
      </c>
      <c r="W14" s="3" t="s">
        <v>37</v>
      </c>
      <c r="X14" s="4">
        <v>5</v>
      </c>
      <c r="Y14" s="3" t="s">
        <v>37</v>
      </c>
      <c r="Z14" s="4">
        <v>10</v>
      </c>
      <c r="AA14" s="3" t="s">
        <v>36</v>
      </c>
      <c r="AB14" s="4">
        <v>10</v>
      </c>
      <c r="AC14" t="str">
        <f>_xlfn.TEXTJOIN(",",,"INSERT INTO assetList VALUES (",A14,B14,C14,F14,E14,G14,H14,I14,J14,K14,L14,N14,P14,Q14,R14,S14,T14,U14,V14,W14,X14,Y14,Z14,AA14,AB14,")")</f>
        <v>INSERT INTO assetList VALUES (,100008,Hotel,Hotel Royal Zürich,8.54502,47.37898,3*,Leonhardstrasse,6,8001,Zürich,Switzerland,DoubleStandard,2021-06-10 13:30:00.000000,2021-06-11 12:00:00.000000,23,true,10,true,10,false,5,false,10,true,10,)</v>
      </c>
    </row>
    <row r="15" spans="1:33" ht="17" customHeight="1" x14ac:dyDescent="0.2">
      <c r="A15" s="3">
        <v>100011</v>
      </c>
      <c r="B15" s="3" t="s">
        <v>27</v>
      </c>
      <c r="C15" s="3" t="s">
        <v>73</v>
      </c>
      <c r="D15" s="5">
        <v>0.54763161721073916</v>
      </c>
      <c r="E15" s="3" t="s">
        <v>75</v>
      </c>
      <c r="F15" s="3" t="s">
        <v>74</v>
      </c>
      <c r="G15" s="3" t="s">
        <v>31</v>
      </c>
      <c r="H15" s="3" t="s">
        <v>65</v>
      </c>
      <c r="I15" s="3">
        <v>1</v>
      </c>
      <c r="J15" s="3">
        <v>8001</v>
      </c>
      <c r="K15" s="3" t="s">
        <v>33</v>
      </c>
      <c r="L15" s="3" t="s">
        <v>34</v>
      </c>
      <c r="M15" s="3"/>
      <c r="N15" s="3" t="s">
        <v>53</v>
      </c>
      <c r="O15" s="3" t="s">
        <v>36</v>
      </c>
      <c r="P15" s="3" t="s">
        <v>184</v>
      </c>
      <c r="Q15" s="3" t="s">
        <v>189</v>
      </c>
      <c r="R15" s="4">
        <v>25</v>
      </c>
      <c r="S15" s="3" t="s">
        <v>36</v>
      </c>
      <c r="T15" s="4">
        <v>10</v>
      </c>
      <c r="U15" s="3" t="s">
        <v>36</v>
      </c>
      <c r="V15" s="4">
        <v>10</v>
      </c>
      <c r="W15" s="3" t="s">
        <v>37</v>
      </c>
      <c r="X15" s="4">
        <v>5</v>
      </c>
      <c r="Y15" s="3" t="s">
        <v>37</v>
      </c>
      <c r="Z15" s="4">
        <v>10</v>
      </c>
      <c r="AA15" s="3" t="s">
        <v>36</v>
      </c>
      <c r="AB15" s="4">
        <v>10</v>
      </c>
      <c r="AC15" t="str">
        <f>_xlfn.TEXTJOIN(",",,"INSERT INTO assetList VALUES (",A15,B15,C15,F15,E15,G15,H15,I15,J15,K15,L15,N15,P15,Q15,R15,S15,T15,U15,V15,W15,X15,Y15,Z15,AA15,AB15,")")</f>
        <v>INSERT INTO assetList VALUES (,100011,Hotel,Hotel Leoneck Swiss Hotel,8.54514,47.37918,3*,Leonhardstrasse,1,8001,Zürich,Switzerland,DoubleStandard,2021-06-10 13:30:00.000000,2021-06-11 12:00:00.000000,25,true,10,true,10,false,5,false,10,true,10,)</v>
      </c>
    </row>
    <row r="16" spans="1:33" ht="17" hidden="1" customHeight="1" x14ac:dyDescent="0.2">
      <c r="A16" s="3">
        <v>100034</v>
      </c>
      <c r="B16" s="3" t="s">
        <v>27</v>
      </c>
      <c r="C16" s="3" t="s">
        <v>162</v>
      </c>
      <c r="D16" s="5">
        <v>0.55428040825431235</v>
      </c>
      <c r="E16" s="3" t="s">
        <v>163</v>
      </c>
      <c r="F16" s="3" t="s">
        <v>127</v>
      </c>
      <c r="G16" s="3" t="s">
        <v>118</v>
      </c>
      <c r="H16" s="3" t="s">
        <v>164</v>
      </c>
      <c r="I16" s="3">
        <v>42</v>
      </c>
      <c r="J16" s="3">
        <v>8006</v>
      </c>
      <c r="K16" s="3" t="s">
        <v>33</v>
      </c>
      <c r="L16" s="3" t="s">
        <v>34</v>
      </c>
      <c r="M16" s="3"/>
      <c r="N16" s="3" t="s">
        <v>161</v>
      </c>
      <c r="O16" s="3" t="s">
        <v>36</v>
      </c>
      <c r="P16" s="3" t="s">
        <v>188</v>
      </c>
      <c r="Q16" s="3" t="s">
        <v>190</v>
      </c>
      <c r="R16" s="4">
        <v>40</v>
      </c>
      <c r="S16" s="3" t="s">
        <v>36</v>
      </c>
      <c r="T16" s="4">
        <v>15</v>
      </c>
      <c r="U16" s="3" t="s">
        <v>36</v>
      </c>
      <c r="V16" s="4">
        <v>15</v>
      </c>
      <c r="W16" s="3" t="s">
        <v>36</v>
      </c>
      <c r="X16" s="4">
        <v>8</v>
      </c>
      <c r="Y16" s="3" t="s">
        <v>36</v>
      </c>
      <c r="Z16" s="4">
        <v>10</v>
      </c>
      <c r="AA16" s="3" t="s">
        <v>36</v>
      </c>
      <c r="AB16" s="4">
        <v>10</v>
      </c>
      <c r="AC16" t="str">
        <f>_xlfn.TEXTJOIN(",",,"INSERT INTO assetList VALUES (",A16,B16,C16,F16,E16,G16,H16,I16,J16,K16,L16,N16,P16,Q16,R16,S16,T16,U16,V16,W16,X16,Y16,Z16,AA16,AB16,")")</f>
        <v>INSERT INTO assetList VALUES (,100034,Hotel,Hotel Marriott Zürich,8.54066,47.38254,5*,Neumühlequai,42,8006,Zürich,Switzerland,JuniorSuite,2021-06-10 16:00:00.000000,2021-08-19 15:00:00.000000,40,true,15,true,15,true,8,true,10,true,10,)</v>
      </c>
    </row>
    <row r="17" spans="1:29" ht="17" customHeight="1" x14ac:dyDescent="0.2">
      <c r="A17" s="3">
        <v>100010</v>
      </c>
      <c r="B17" s="3" t="s">
        <v>27</v>
      </c>
      <c r="C17" s="3" t="s">
        <v>70</v>
      </c>
      <c r="D17" s="5">
        <v>0.56397501666160776</v>
      </c>
      <c r="E17" s="3" t="s">
        <v>72</v>
      </c>
      <c r="F17" s="3" t="s">
        <v>71</v>
      </c>
      <c r="G17" s="3" t="s">
        <v>31</v>
      </c>
      <c r="H17" s="3" t="s">
        <v>49</v>
      </c>
      <c r="I17" s="3">
        <v>25</v>
      </c>
      <c r="J17" s="3">
        <v>8001</v>
      </c>
      <c r="K17" s="3" t="s">
        <v>33</v>
      </c>
      <c r="L17" s="3" t="s">
        <v>34</v>
      </c>
      <c r="M17" s="3"/>
      <c r="N17" s="3" t="s">
        <v>53</v>
      </c>
      <c r="O17" s="3" t="s">
        <v>36</v>
      </c>
      <c r="P17" s="3" t="s">
        <v>184</v>
      </c>
      <c r="Q17" s="3" t="s">
        <v>189</v>
      </c>
      <c r="R17" s="4">
        <v>25</v>
      </c>
      <c r="S17" s="3" t="s">
        <v>36</v>
      </c>
      <c r="T17" s="4">
        <v>10</v>
      </c>
      <c r="U17" s="3" t="s">
        <v>36</v>
      </c>
      <c r="V17" s="4">
        <v>10</v>
      </c>
      <c r="W17" s="3" t="s">
        <v>37</v>
      </c>
      <c r="X17" s="4">
        <v>5</v>
      </c>
      <c r="Y17" s="3" t="s">
        <v>37</v>
      </c>
      <c r="Z17" s="4">
        <v>10</v>
      </c>
      <c r="AA17" s="3" t="s">
        <v>36</v>
      </c>
      <c r="AB17" s="4">
        <v>10</v>
      </c>
      <c r="AC17" t="str">
        <f>_xlfn.TEXTJOIN(",",,"INSERT INTO assetList VALUES (",A17,B17,C17,F17,E17,G17,H17,I17,J17,K17,L17,N17,P17,Q17,R17,S17,T17,U17,V17,W17,X17,Y17,Z17,AA17,AB17,")")</f>
        <v>INSERT INTO assetList VALUES (,100010,Hotel,Hotel Felix Zürich,8.54454,47.37523,3*,Zähringerstrasse,25,8001,Zürich,Switzerland,DoubleStandard,2021-06-10 13:30:00.000000,2021-06-11 12:00:00.000000,25,true,10,true,10,false,5,false,10,true,10,)</v>
      </c>
    </row>
    <row r="18" spans="1:29" ht="17" customHeight="1" x14ac:dyDescent="0.2">
      <c r="A18" s="3" t="s">
        <v>243</v>
      </c>
      <c r="B18" s="3" t="s">
        <v>27</v>
      </c>
      <c r="C18" s="3" t="s">
        <v>50</v>
      </c>
      <c r="D18" s="5">
        <v>0.56832248010149722</v>
      </c>
      <c r="E18" s="3" t="s">
        <v>52</v>
      </c>
      <c r="F18" s="3" t="s">
        <v>51</v>
      </c>
      <c r="G18" s="3" t="s">
        <v>31</v>
      </c>
      <c r="H18" s="3" t="s">
        <v>41</v>
      </c>
      <c r="I18" s="3">
        <v>40</v>
      </c>
      <c r="J18" s="3">
        <v>8001</v>
      </c>
      <c r="K18" s="3" t="s">
        <v>33</v>
      </c>
      <c r="L18" s="3" t="s">
        <v>34</v>
      </c>
      <c r="M18" s="3"/>
      <c r="N18" s="3" t="s">
        <v>53</v>
      </c>
      <c r="O18" s="3" t="s">
        <v>36</v>
      </c>
      <c r="P18" s="3" t="s">
        <v>183</v>
      </c>
      <c r="Q18" s="3" t="s">
        <v>189</v>
      </c>
      <c r="R18" s="4">
        <v>23</v>
      </c>
      <c r="S18" s="3" t="s">
        <v>36</v>
      </c>
      <c r="T18" s="4">
        <v>10</v>
      </c>
      <c r="U18" s="3" t="s">
        <v>36</v>
      </c>
      <c r="V18" s="4">
        <v>10</v>
      </c>
      <c r="W18" s="3" t="s">
        <v>36</v>
      </c>
      <c r="X18" s="4">
        <v>5</v>
      </c>
      <c r="Y18" s="3" t="s">
        <v>37</v>
      </c>
      <c r="Z18" s="4">
        <v>10</v>
      </c>
      <c r="AA18" s="3" t="s">
        <v>36</v>
      </c>
      <c r="AB18" s="4">
        <v>10</v>
      </c>
      <c r="AC18" t="str">
        <f>_xlfn.TEXTJOIN(",",,"INSERT INTO assetList VALUES (",A18,B18,C18,F18,E18,G18,H18,I18,J18,K18,L18,N18,P18,Q18,R18,S18,T18,U18,V18,W18,X18,Y18,Z18,AA18,AB18,")")</f>
        <v>INSERT INTO assetList VALUES (,100005,Hotel,Hotel Alexander,8.5439,47.37456,3*,Niederdorfstrasse,40,8001,Zürich,Switzerland,DoubleStandard,2021-06-10 13:00:00.000000,2021-06-11 12:00:00.000000,23,true,10,true,10,true,5,false,10,true,10,)</v>
      </c>
    </row>
    <row r="19" spans="1:29" ht="17" hidden="1" customHeight="1" x14ac:dyDescent="0.2">
      <c r="A19" s="3">
        <v>100032</v>
      </c>
      <c r="B19" s="3" t="s">
        <v>27</v>
      </c>
      <c r="C19" s="3" t="s">
        <v>154</v>
      </c>
      <c r="D19" s="5">
        <v>0.6065258596327695</v>
      </c>
      <c r="E19" s="3" t="s">
        <v>156</v>
      </c>
      <c r="F19" s="3" t="s">
        <v>155</v>
      </c>
      <c r="G19" s="3" t="s">
        <v>118</v>
      </c>
      <c r="H19" s="3" t="s">
        <v>157</v>
      </c>
      <c r="I19" s="3">
        <v>7</v>
      </c>
      <c r="J19" s="3">
        <v>8001</v>
      </c>
      <c r="K19" s="3" t="s">
        <v>33</v>
      </c>
      <c r="L19" s="3" t="s">
        <v>34</v>
      </c>
      <c r="M19" s="3"/>
      <c r="N19" s="3" t="s">
        <v>143</v>
      </c>
      <c r="O19" s="3" t="s">
        <v>36</v>
      </c>
      <c r="P19" s="3" t="s">
        <v>188</v>
      </c>
      <c r="Q19" s="3" t="s">
        <v>190</v>
      </c>
      <c r="R19" s="4">
        <v>36</v>
      </c>
      <c r="S19" s="3" t="s">
        <v>36</v>
      </c>
      <c r="T19" s="4">
        <v>15</v>
      </c>
      <c r="U19" s="3" t="s">
        <v>36</v>
      </c>
      <c r="V19" s="4">
        <v>15</v>
      </c>
      <c r="W19" s="3" t="s">
        <v>37</v>
      </c>
      <c r="X19" s="4">
        <v>8</v>
      </c>
      <c r="Y19" s="3" t="s">
        <v>36</v>
      </c>
      <c r="Z19" s="4">
        <v>10</v>
      </c>
      <c r="AA19" s="3" t="s">
        <v>36</v>
      </c>
      <c r="AB19" s="4">
        <v>10</v>
      </c>
      <c r="AC19" t="str">
        <f>_xlfn.TEXTJOIN(",",,"INSERT INTO assetList VALUES (",A19,B19,C19,F19,E19,G19,H19,I19,J19,K19,L19,N19,P19,Q19,R19,S19,T19,U19,V19,W19,X19,Y19,Z19,AA19,AB19,")")</f>
        <v>INSERT INTO assetList VALUES (,100032,Hotel,Hotel Widder,8.53986,47.37253,5*,Rennweg,7,8001,Zürich,Switzerland,DoubleSuperior,2021-06-10 16:00:00.000000,2021-08-19 15:00:00.000000,36,true,15,true,15,false,8,true,10,true,10,)</v>
      </c>
    </row>
    <row r="20" spans="1:29" ht="17" customHeight="1" x14ac:dyDescent="0.2">
      <c r="A20" s="3" t="s">
        <v>194</v>
      </c>
      <c r="B20" s="3" t="s">
        <v>27</v>
      </c>
      <c r="C20" s="3" t="s">
        <v>38</v>
      </c>
      <c r="D20" s="5">
        <v>0.62965648273189379</v>
      </c>
      <c r="E20" s="3" t="s">
        <v>40</v>
      </c>
      <c r="F20" s="3" t="s">
        <v>39</v>
      </c>
      <c r="G20" s="3" t="s">
        <v>31</v>
      </c>
      <c r="H20" s="3" t="s">
        <v>41</v>
      </c>
      <c r="I20" s="3">
        <v>17</v>
      </c>
      <c r="J20" s="3">
        <v>8001</v>
      </c>
      <c r="K20" s="3" t="s">
        <v>33</v>
      </c>
      <c r="L20" s="3" t="s">
        <v>34</v>
      </c>
      <c r="M20" s="3"/>
      <c r="N20" s="3" t="s">
        <v>35</v>
      </c>
      <c r="O20" s="3" t="s">
        <v>36</v>
      </c>
      <c r="P20" s="3" t="s">
        <v>183</v>
      </c>
      <c r="Q20" s="3" t="s">
        <v>189</v>
      </c>
      <c r="R20" s="4">
        <v>20</v>
      </c>
      <c r="S20" s="3" t="s">
        <v>36</v>
      </c>
      <c r="T20" s="4">
        <v>10</v>
      </c>
      <c r="U20" s="3" t="s">
        <v>36</v>
      </c>
      <c r="V20" s="4">
        <v>10</v>
      </c>
      <c r="W20" s="3" t="s">
        <v>36</v>
      </c>
      <c r="X20" s="4">
        <v>5</v>
      </c>
      <c r="Y20" s="3" t="s">
        <v>37</v>
      </c>
      <c r="Z20" s="4">
        <v>10</v>
      </c>
      <c r="AA20" s="3" t="s">
        <v>37</v>
      </c>
      <c r="AB20" s="4">
        <v>10</v>
      </c>
      <c r="AC20" t="str">
        <f>_xlfn.TEXTJOIN(",",,"INSERT INTO assetList VALUES (",A20,B20,C20,F20,E20,G20,H20,I20,J20,K20,L20,N20,P20,Q20,R20,S20,T20,U20,V20,W20,X20,Y20,Z20,AA20,AB20,")")</f>
        <v>INSERT INTO assetList VALUES (,100002.1,Hotel,Hotel Old Town,8.54368,47.37362,3*,Niederdorfstrasse,17,8001,Zürich,Switzerland,SingleStandard,2021-06-10 13:00:00.000000,2021-06-11 12:00:00.000000,20,true,10,true,10,true,5,false,10,false,10,)</v>
      </c>
    </row>
    <row r="21" spans="1:29" ht="17" customHeight="1" x14ac:dyDescent="0.2">
      <c r="A21" s="3" t="s">
        <v>197</v>
      </c>
      <c r="B21" s="3" t="s">
        <v>27</v>
      </c>
      <c r="C21" s="3" t="s">
        <v>38</v>
      </c>
      <c r="D21" s="5">
        <v>0.62965648273189379</v>
      </c>
      <c r="E21" s="3" t="s">
        <v>40</v>
      </c>
      <c r="F21" s="3" t="s">
        <v>39</v>
      </c>
      <c r="G21" s="3" t="s">
        <v>31</v>
      </c>
      <c r="H21" s="3" t="s">
        <v>41</v>
      </c>
      <c r="I21" s="3">
        <v>17</v>
      </c>
      <c r="J21" s="3">
        <v>8001</v>
      </c>
      <c r="K21" s="3" t="s">
        <v>33</v>
      </c>
      <c r="L21" s="3" t="s">
        <v>34</v>
      </c>
      <c r="M21" s="3"/>
      <c r="N21" s="3" t="s">
        <v>53</v>
      </c>
      <c r="O21" s="3" t="s">
        <v>36</v>
      </c>
      <c r="P21" s="3" t="s">
        <v>183</v>
      </c>
      <c r="Q21" s="3" t="s">
        <v>189</v>
      </c>
      <c r="R21" s="4">
        <v>25</v>
      </c>
      <c r="S21" s="3" t="s">
        <v>36</v>
      </c>
      <c r="T21" s="4">
        <v>10</v>
      </c>
      <c r="U21" s="3" t="s">
        <v>36</v>
      </c>
      <c r="V21" s="4">
        <v>10</v>
      </c>
      <c r="W21" s="3" t="s">
        <v>36</v>
      </c>
      <c r="X21" s="4">
        <v>5</v>
      </c>
      <c r="Y21" s="3" t="s">
        <v>37</v>
      </c>
      <c r="Z21" s="4">
        <v>10</v>
      </c>
      <c r="AA21" s="3" t="s">
        <v>37</v>
      </c>
      <c r="AB21" s="4">
        <v>10</v>
      </c>
      <c r="AC21" t="str">
        <f>_xlfn.TEXTJOIN(",",,"INSERT INTO assetList VALUES (",A21,B21,C21,F21,E21,G21,H21,I21,J21,K21,L21,N21,P21,Q21,R21,S21,T21,U21,V21,W21,X21,Y21,Z21,AA21,AB21,")")</f>
        <v>INSERT INTO assetList VALUES (,100002.2,Hotel,Hotel Old Town,8.54368,47.37362,3*,Niederdorfstrasse,17,8001,Zürich,Switzerland,DoubleStandard,2021-06-10 13:00:00.000000,2021-06-11 12:00:00.000000,25,true,10,true,10,true,5,false,10,false,10,)</v>
      </c>
    </row>
    <row r="22" spans="1:29" ht="17" customHeight="1" x14ac:dyDescent="0.2">
      <c r="A22" s="3" t="s">
        <v>198</v>
      </c>
      <c r="B22" s="3" t="s">
        <v>27</v>
      </c>
      <c r="C22" s="3" t="s">
        <v>38</v>
      </c>
      <c r="D22" s="5">
        <v>0.62965648273189379</v>
      </c>
      <c r="E22" s="3" t="s">
        <v>40</v>
      </c>
      <c r="F22" s="3" t="s">
        <v>39</v>
      </c>
      <c r="G22" s="3" t="s">
        <v>31</v>
      </c>
      <c r="H22" s="3" t="s">
        <v>41</v>
      </c>
      <c r="I22" s="3">
        <v>17</v>
      </c>
      <c r="J22" s="3">
        <v>8001</v>
      </c>
      <c r="K22" s="3" t="s">
        <v>33</v>
      </c>
      <c r="L22" s="3" t="s">
        <v>34</v>
      </c>
      <c r="M22" s="3"/>
      <c r="N22" s="3" t="s">
        <v>180</v>
      </c>
      <c r="O22" s="3" t="s">
        <v>36</v>
      </c>
      <c r="P22" s="3" t="s">
        <v>183</v>
      </c>
      <c r="Q22" s="3" t="s">
        <v>189</v>
      </c>
      <c r="R22" s="4">
        <v>28</v>
      </c>
      <c r="S22" s="3" t="s">
        <v>36</v>
      </c>
      <c r="T22" s="4">
        <v>10</v>
      </c>
      <c r="U22" s="3" t="s">
        <v>36</v>
      </c>
      <c r="V22" s="4">
        <v>10</v>
      </c>
      <c r="W22" s="3" t="s">
        <v>36</v>
      </c>
      <c r="X22" s="4">
        <v>5</v>
      </c>
      <c r="Y22" s="3" t="s">
        <v>36</v>
      </c>
      <c r="Z22" s="4">
        <v>10</v>
      </c>
      <c r="AA22" s="3" t="s">
        <v>37</v>
      </c>
      <c r="AB22" s="4">
        <v>10</v>
      </c>
      <c r="AC22" t="str">
        <f>_xlfn.TEXTJOIN(",",,"INSERT INTO assetList VALUES (",A22,B22,C22,F22,E22,G22,H22,I22,J22,K22,L22,N22,P22,Q22,R22,S22,T22,U22,V22,W22,X22,Y22,Z22,AA22,AB22,")")</f>
        <v>INSERT INTO assetList VALUES (,100002.3,Hotel,Hotel Old Town,8.54368,47.37362,3*,Niederdorfstrasse,17,8001,Zürich,Switzerland,"DoubleSuperior",2021-06-10 13:00:00.000000,2021-06-11 12:00:00.000000,28,true,10,true,10,true,5,true,10,false,10,)</v>
      </c>
    </row>
    <row r="23" spans="1:29" ht="17" customHeight="1" x14ac:dyDescent="0.2">
      <c r="A23" s="3" t="s">
        <v>199</v>
      </c>
      <c r="B23" s="3" t="s">
        <v>27</v>
      </c>
      <c r="C23" s="3" t="s">
        <v>38</v>
      </c>
      <c r="D23" s="5">
        <v>0.62965648273189379</v>
      </c>
      <c r="E23" s="3" t="s">
        <v>40</v>
      </c>
      <c r="F23" s="3" t="s">
        <v>39</v>
      </c>
      <c r="G23" s="3" t="s">
        <v>31</v>
      </c>
      <c r="H23" s="3" t="s">
        <v>41</v>
      </c>
      <c r="I23" s="3">
        <v>17</v>
      </c>
      <c r="J23" s="3">
        <v>8001</v>
      </c>
      <c r="K23" s="3" t="s">
        <v>33</v>
      </c>
      <c r="L23" s="3" t="s">
        <v>34</v>
      </c>
      <c r="M23" s="3"/>
      <c r="N23" s="3" t="s">
        <v>174</v>
      </c>
      <c r="O23" s="3" t="s">
        <v>36</v>
      </c>
      <c r="P23" s="3" t="s">
        <v>183</v>
      </c>
      <c r="Q23" s="3" t="s">
        <v>189</v>
      </c>
      <c r="R23" s="4">
        <v>24</v>
      </c>
      <c r="S23" s="3" t="s">
        <v>36</v>
      </c>
      <c r="T23" s="4">
        <v>10</v>
      </c>
      <c r="U23" s="3" t="s">
        <v>36</v>
      </c>
      <c r="V23" s="4">
        <v>10</v>
      </c>
      <c r="W23" s="3" t="s">
        <v>36</v>
      </c>
      <c r="X23" s="4">
        <v>5</v>
      </c>
      <c r="Y23" s="3" t="s">
        <v>36</v>
      </c>
      <c r="Z23" s="4">
        <v>10</v>
      </c>
      <c r="AA23" s="3" t="s">
        <v>37</v>
      </c>
      <c r="AB23" s="4">
        <v>10</v>
      </c>
      <c r="AC23" t="str">
        <f>_xlfn.TEXTJOIN(",",,"INSERT INTO assetList VALUES (",A23,B23,C23,F23,E23,G23,H23,I23,J23,K23,L23,N23,P23,Q23,R23,S23,T23,U23,V23,W23,X23,Y23,Z23,AA23,AB23,")")</f>
        <v>INSERT INTO assetList VALUES (,100002.4,Hotel,Hotel Old Town,8.54368,47.37362,3*,Niederdorfstrasse,17,8001,Zürich,Switzerland,"SingelBusiness",2021-06-10 13:00:00.000000,2021-06-11 12:00:00.000000,24,true,10,true,10,true,5,true,10,false,10,)</v>
      </c>
    </row>
    <row r="24" spans="1:29" ht="17" customHeight="1" x14ac:dyDescent="0.2">
      <c r="A24" s="3">
        <v>100007</v>
      </c>
      <c r="B24" s="3" t="s">
        <v>27</v>
      </c>
      <c r="C24" s="3" t="s">
        <v>58</v>
      </c>
      <c r="D24" s="5">
        <v>0.63244334432472171</v>
      </c>
      <c r="E24" s="3" t="s">
        <v>60</v>
      </c>
      <c r="F24" s="3" t="s">
        <v>59</v>
      </c>
      <c r="G24" s="3" t="s">
        <v>31</v>
      </c>
      <c r="H24" s="3" t="s">
        <v>61</v>
      </c>
      <c r="I24" s="3">
        <v>1</v>
      </c>
      <c r="J24" s="3">
        <v>8001</v>
      </c>
      <c r="K24" s="3" t="s">
        <v>33</v>
      </c>
      <c r="L24" s="3" t="s">
        <v>34</v>
      </c>
      <c r="M24" s="3"/>
      <c r="N24" s="3" t="s">
        <v>53</v>
      </c>
      <c r="O24" s="3" t="s">
        <v>36</v>
      </c>
      <c r="P24" s="3" t="s">
        <v>184</v>
      </c>
      <c r="Q24" s="3" t="s">
        <v>189</v>
      </c>
      <c r="R24" s="4">
        <v>23</v>
      </c>
      <c r="S24" s="3" t="s">
        <v>36</v>
      </c>
      <c r="T24" s="4">
        <v>10</v>
      </c>
      <c r="U24" s="3" t="s">
        <v>36</v>
      </c>
      <c r="V24" s="4">
        <v>10</v>
      </c>
      <c r="W24" s="3" t="s">
        <v>37</v>
      </c>
      <c r="X24" s="4">
        <v>5</v>
      </c>
      <c r="Y24" s="3" t="s">
        <v>37</v>
      </c>
      <c r="Z24" s="4">
        <v>10</v>
      </c>
      <c r="AA24" s="3" t="s">
        <v>37</v>
      </c>
      <c r="AB24" s="4">
        <v>10</v>
      </c>
      <c r="AC24" t="str">
        <f>_xlfn.TEXTJOIN(",",,"INSERT INTO assetList VALUES (",A24,B24,C24,F24,E24,G24,H24,I24,J24,K24,L24,N24,P24,Q24,R24,S24,T24,U24,V24,W24,X24,Y24,Z24,AA24,AB24,")")</f>
        <v>INSERT INTO assetList VALUES (,100007,Hotel,Hotel Kindli,8.54069,47.37244,3*,Pfalzgasse,1,8001,Zürich,Switzerland,DoubleStandard,2021-06-10 13:30:00.000000,2021-06-11 12:00:00.000000,23,true,10,true,10,false,5,false,10,false,10,)</v>
      </c>
    </row>
    <row r="25" spans="1:29" ht="17" hidden="1" customHeight="1" x14ac:dyDescent="0.2">
      <c r="A25" s="3">
        <v>100014</v>
      </c>
      <c r="B25" s="3" t="s">
        <v>27</v>
      </c>
      <c r="C25" s="3" t="s">
        <v>84</v>
      </c>
      <c r="D25" s="5">
        <v>0.6344132800409461</v>
      </c>
      <c r="E25" s="3" t="s">
        <v>86</v>
      </c>
      <c r="F25" s="3" t="s">
        <v>85</v>
      </c>
      <c r="G25" s="3" t="s">
        <v>31</v>
      </c>
      <c r="H25" s="3" t="s">
        <v>87</v>
      </c>
      <c r="I25" s="3">
        <v>17</v>
      </c>
      <c r="J25" s="3">
        <v>8001</v>
      </c>
      <c r="K25" s="3" t="s">
        <v>33</v>
      </c>
      <c r="L25" s="3" t="s">
        <v>34</v>
      </c>
      <c r="M25" s="3"/>
      <c r="N25" s="3" t="s">
        <v>53</v>
      </c>
      <c r="O25" s="3" t="s">
        <v>36</v>
      </c>
      <c r="P25" s="3" t="s">
        <v>272</v>
      </c>
      <c r="Q25" s="3" t="s">
        <v>273</v>
      </c>
      <c r="R25" s="4">
        <v>25</v>
      </c>
      <c r="S25" s="3" t="s">
        <v>36</v>
      </c>
      <c r="T25" s="4">
        <v>10</v>
      </c>
      <c r="U25" s="3" t="s">
        <v>36</v>
      </c>
      <c r="V25" s="4">
        <v>10</v>
      </c>
      <c r="W25" s="3" t="s">
        <v>37</v>
      </c>
      <c r="X25" s="4">
        <v>5</v>
      </c>
      <c r="Y25" s="3" t="s">
        <v>37</v>
      </c>
      <c r="Z25" s="4">
        <v>10</v>
      </c>
      <c r="AA25" s="3" t="s">
        <v>37</v>
      </c>
      <c r="AB25" s="4">
        <v>10</v>
      </c>
      <c r="AC25" t="str">
        <f>_xlfn.TEXTJOIN(",",,"INSERT INTO assetList VALUES (",A25,B25,C25,F25,E25,G25,H25,I25,J25,K25,L25,N25,P25,Q25,R25,S25,T25,U25,V25,W25,X25,Y25,Z25,AA25,AB25,")")</f>
        <v>INSERT INTO assetList VALUES (,100014,Hotel,Hotel Scheuble,8.54488,47.37444,3*,Mühlegasse,17,8001,Zürich,Switzerland,DoubleStandard,2021-06-11 14:00:00.000000,2021-06-12 17:00:00.000000,25,true,10,true,10,false,5,false,10,false,10,)</v>
      </c>
    </row>
    <row r="26" spans="1:29" ht="17" hidden="1" customHeight="1" x14ac:dyDescent="0.2">
      <c r="A26" s="3">
        <v>100021</v>
      </c>
      <c r="B26" s="3" t="s">
        <v>27</v>
      </c>
      <c r="C26" s="3" t="s">
        <v>111</v>
      </c>
      <c r="D26" s="5">
        <v>0.64156147393565</v>
      </c>
      <c r="E26" s="3" t="s">
        <v>113</v>
      </c>
      <c r="F26" s="3" t="s">
        <v>112</v>
      </c>
      <c r="G26" s="3" t="s">
        <v>31</v>
      </c>
      <c r="H26" s="3" t="s">
        <v>114</v>
      </c>
      <c r="I26" s="3">
        <v>64</v>
      </c>
      <c r="J26" s="3">
        <v>8001</v>
      </c>
      <c r="K26" s="3" t="s">
        <v>33</v>
      </c>
      <c r="L26" s="3" t="s">
        <v>34</v>
      </c>
      <c r="M26" s="3"/>
      <c r="N26" s="3" t="s">
        <v>103</v>
      </c>
      <c r="O26" s="3" t="s">
        <v>36</v>
      </c>
      <c r="P26" s="3" t="s">
        <v>272</v>
      </c>
      <c r="Q26" s="3" t="s">
        <v>273</v>
      </c>
      <c r="R26" s="4">
        <v>27</v>
      </c>
      <c r="S26" s="3" t="s">
        <v>36</v>
      </c>
      <c r="T26" s="4">
        <v>10</v>
      </c>
      <c r="U26" s="3" t="s">
        <v>36</v>
      </c>
      <c r="V26" s="4">
        <v>10</v>
      </c>
      <c r="W26" s="3" t="s">
        <v>36</v>
      </c>
      <c r="X26" s="4">
        <v>5</v>
      </c>
      <c r="Y26" s="3" t="s">
        <v>37</v>
      </c>
      <c r="Z26" s="4">
        <v>10</v>
      </c>
      <c r="AA26" s="3" t="s">
        <v>37</v>
      </c>
      <c r="AB26" s="4">
        <v>10</v>
      </c>
      <c r="AC26" t="str">
        <f>_xlfn.TEXTJOIN(",",,"INSERT INTO assetList VALUES (",A26,B26,C26,F26,E26,G26,H26,I26,J26,K26,L26,N26,P26,Q26,R26,S26,T26,U26,V26,W26,X26,Y26,Z26,AA26,AB26,")")</f>
        <v>INSERT INTO assetList VALUES (,100021,Hotel,Hotel St. Josef,8.5458,47.37534,3*,Hirschengraben,64,8001,Zürich,Switzerland,DoubleBusiness,2021-06-11 14:00:00.000000,2021-06-12 17:00:00.000000,27,true,10,true,10,true,5,false,10,false,10,)</v>
      </c>
    </row>
    <row r="27" spans="1:29" ht="17" hidden="1" customHeight="1" x14ac:dyDescent="0.2">
      <c r="A27" s="3">
        <v>100020</v>
      </c>
      <c r="B27" s="3" t="s">
        <v>27</v>
      </c>
      <c r="C27" s="3" t="s">
        <v>108</v>
      </c>
      <c r="D27" s="5">
        <v>0.64768318750320419</v>
      </c>
      <c r="E27" s="3" t="s">
        <v>110</v>
      </c>
      <c r="F27" s="3" t="s">
        <v>109</v>
      </c>
      <c r="G27" s="3" t="s">
        <v>31</v>
      </c>
      <c r="H27" s="3" t="s">
        <v>41</v>
      </c>
      <c r="I27" s="3">
        <v>13</v>
      </c>
      <c r="J27" s="3">
        <v>8001</v>
      </c>
      <c r="K27" s="3" t="s">
        <v>33</v>
      </c>
      <c r="L27" s="3" t="s">
        <v>34</v>
      </c>
      <c r="M27" s="3"/>
      <c r="N27" s="3" t="s">
        <v>103</v>
      </c>
      <c r="O27" s="3" t="s">
        <v>36</v>
      </c>
      <c r="P27" s="3" t="s">
        <v>272</v>
      </c>
      <c r="Q27" s="3" t="s">
        <v>273</v>
      </c>
      <c r="R27" s="4">
        <v>27</v>
      </c>
      <c r="S27" s="3" t="s">
        <v>36</v>
      </c>
      <c r="T27" s="4">
        <v>10</v>
      </c>
      <c r="U27" s="3" t="s">
        <v>36</v>
      </c>
      <c r="V27" s="4">
        <v>10</v>
      </c>
      <c r="W27" s="3" t="s">
        <v>36</v>
      </c>
      <c r="X27" s="4">
        <v>5</v>
      </c>
      <c r="Y27" s="3" t="s">
        <v>37</v>
      </c>
      <c r="Z27" s="4">
        <v>10</v>
      </c>
      <c r="AA27" s="3" t="s">
        <v>37</v>
      </c>
      <c r="AB27" s="4">
        <v>10</v>
      </c>
      <c r="AC27" t="str">
        <f>_xlfn.TEXTJOIN(",",,"INSERT INTO assetList VALUES (",A27,B27,C27,F27,E27,G27,H27,I27,J27,K27,L27,N27,P27,Q27,R27,S27,T27,U27,V27,W27,X27,Y27,Z27,AA27,AB27,")")</f>
        <v>INSERT INTO assetList VALUES (,100020,Hotel,Hotel Hirschen,8.54367,47.3734,3*,Niederdorfstrasse,13,8001,Zürich,Switzerland,DoubleBusiness,2021-06-11 14:00:00.000000,2021-06-12 17:00:00.000000,27,true,10,true,10,true,5,false,10,false,10,)</v>
      </c>
    </row>
    <row r="28" spans="1:29" ht="17" customHeight="1" x14ac:dyDescent="0.2">
      <c r="A28" s="3">
        <v>100012</v>
      </c>
      <c r="B28" s="3" t="s">
        <v>27</v>
      </c>
      <c r="C28" s="3" t="s">
        <v>76</v>
      </c>
      <c r="D28" s="5">
        <v>0.65404707084281211</v>
      </c>
      <c r="E28" s="3" t="s">
        <v>78</v>
      </c>
      <c r="F28" s="3" t="s">
        <v>77</v>
      </c>
      <c r="G28" s="3" t="s">
        <v>31</v>
      </c>
      <c r="H28" s="3" t="s">
        <v>79</v>
      </c>
      <c r="I28" s="3">
        <v>3</v>
      </c>
      <c r="J28" s="3">
        <v>8001</v>
      </c>
      <c r="K28" s="3" t="s">
        <v>33</v>
      </c>
      <c r="L28" s="3" t="s">
        <v>34</v>
      </c>
      <c r="M28" s="3"/>
      <c r="N28" s="3" t="s">
        <v>53</v>
      </c>
      <c r="O28" s="3" t="s">
        <v>36</v>
      </c>
      <c r="P28" s="3" t="s">
        <v>185</v>
      </c>
      <c r="Q28" s="3" t="s">
        <v>189</v>
      </c>
      <c r="R28" s="4">
        <v>25</v>
      </c>
      <c r="S28" s="3" t="s">
        <v>36</v>
      </c>
      <c r="T28" s="4">
        <v>10</v>
      </c>
      <c r="U28" s="3" t="s">
        <v>36</v>
      </c>
      <c r="V28" s="4">
        <v>10</v>
      </c>
      <c r="W28" s="3" t="s">
        <v>37</v>
      </c>
      <c r="X28" s="4">
        <v>5</v>
      </c>
      <c r="Y28" s="3" t="s">
        <v>37</v>
      </c>
      <c r="Z28" s="4">
        <v>10</v>
      </c>
      <c r="AA28" s="3" t="s">
        <v>37</v>
      </c>
      <c r="AB28" s="4">
        <v>10</v>
      </c>
      <c r="AC28" t="str">
        <f>_xlfn.TEXTJOIN(",",,"INSERT INTO assetList VALUES (",A28,B28,C28,F28,E28,G28,H28,I28,J28,K28,L28,N28,P28,Q28,R28,S28,T28,U28,V28,W28,X28,Y28,Z28,AA28,AB28,")")</f>
        <v>INSERT INTO assetList VALUES (,100012,Hotel,Hotel Platzhirsch,8.544,47.37352,3*,Spitalgasse,3,8001,Zürich,Switzerland,DoubleStandard,2021-06-10 14:00:00.000000,2021-06-11 12:00:00.000000,25,true,10,true,10,false,5,false,10,false,10,)</v>
      </c>
    </row>
    <row r="29" spans="1:29" ht="17" customHeight="1" x14ac:dyDescent="0.2">
      <c r="A29" s="3">
        <v>100009</v>
      </c>
      <c r="B29" s="3" t="s">
        <v>27</v>
      </c>
      <c r="C29" s="3" t="s">
        <v>66</v>
      </c>
      <c r="D29" s="5">
        <v>0.66525345092932486</v>
      </c>
      <c r="E29" s="3" t="s">
        <v>68</v>
      </c>
      <c r="F29" s="3" t="s">
        <v>67</v>
      </c>
      <c r="G29" s="3" t="s">
        <v>31</v>
      </c>
      <c r="H29" s="3" t="s">
        <v>69</v>
      </c>
      <c r="I29" s="3">
        <v>10</v>
      </c>
      <c r="J29" s="3">
        <v>8001</v>
      </c>
      <c r="K29" s="3" t="s">
        <v>33</v>
      </c>
      <c r="L29" s="3" t="s">
        <v>34</v>
      </c>
      <c r="M29" s="3"/>
      <c r="N29" s="3" t="s">
        <v>53</v>
      </c>
      <c r="O29" s="3" t="s">
        <v>36</v>
      </c>
      <c r="P29" s="3" t="s">
        <v>184</v>
      </c>
      <c r="Q29" s="3" t="s">
        <v>189</v>
      </c>
      <c r="R29" s="4">
        <v>25</v>
      </c>
      <c r="S29" s="3" t="s">
        <v>36</v>
      </c>
      <c r="T29" s="4">
        <v>10</v>
      </c>
      <c r="U29" s="3" t="s">
        <v>36</v>
      </c>
      <c r="V29" s="4">
        <v>10</v>
      </c>
      <c r="W29" s="3" t="s">
        <v>37</v>
      </c>
      <c r="X29" s="4">
        <v>5</v>
      </c>
      <c r="Y29" s="3" t="s">
        <v>37</v>
      </c>
      <c r="Z29" s="4">
        <v>10</v>
      </c>
      <c r="AA29" s="3" t="s">
        <v>36</v>
      </c>
      <c r="AB29" s="4">
        <v>10</v>
      </c>
      <c r="AC29" t="str">
        <f>_xlfn.TEXTJOIN(",",,"INSERT INTO assetList VALUES (",A29,B29,C29,F29,E29,G29,H29,I29,J29,K29,L29,N29,P29,Q29,R29,S29,T29,U29,V29,W29,X29,Y29,Z29,AA29,AB29,")")</f>
        <v>INSERT INTO assetList VALUES (,100009,Hotel,Hotel Adler,8.54366,47.37319,3*,Rosengasse,10,8001,Zürich,Switzerland,DoubleStandard,2021-06-10 13:30:00.000000,2021-06-11 12:00:00.000000,25,true,10,true,10,false,5,false,10,true,10,)</v>
      </c>
    </row>
    <row r="30" spans="1:29" ht="17" hidden="1" customHeight="1" x14ac:dyDescent="0.2">
      <c r="A30" s="3">
        <v>100029</v>
      </c>
      <c r="B30" s="3" t="s">
        <v>27</v>
      </c>
      <c r="C30" s="3" t="s">
        <v>144</v>
      </c>
      <c r="D30" s="5">
        <v>0.68928301062317543</v>
      </c>
      <c r="E30" s="3" t="s">
        <v>146</v>
      </c>
      <c r="F30" s="3" t="s">
        <v>145</v>
      </c>
      <c r="G30" s="3" t="s">
        <v>124</v>
      </c>
      <c r="H30" s="3" t="s">
        <v>41</v>
      </c>
      <c r="I30" s="3">
        <v>10</v>
      </c>
      <c r="J30" s="3">
        <v>8001</v>
      </c>
      <c r="K30" s="3" t="s">
        <v>33</v>
      </c>
      <c r="L30" s="3" t="s">
        <v>34</v>
      </c>
      <c r="M30" s="3"/>
      <c r="N30" s="3" t="s">
        <v>143</v>
      </c>
      <c r="O30" s="3" t="s">
        <v>36</v>
      </c>
      <c r="P30" s="3" t="s">
        <v>188</v>
      </c>
      <c r="Q30" s="3" t="s">
        <v>190</v>
      </c>
      <c r="R30" s="4">
        <v>34</v>
      </c>
      <c r="S30" s="3" t="s">
        <v>36</v>
      </c>
      <c r="T30" s="4">
        <v>15</v>
      </c>
      <c r="U30" s="3" t="s">
        <v>36</v>
      </c>
      <c r="V30" s="4">
        <v>15</v>
      </c>
      <c r="W30" s="3" t="s">
        <v>37</v>
      </c>
      <c r="X30" s="4">
        <v>8</v>
      </c>
      <c r="Y30" s="3" t="s">
        <v>36</v>
      </c>
      <c r="Z30" s="4">
        <v>10</v>
      </c>
      <c r="AA30" s="3" t="s">
        <v>36</v>
      </c>
      <c r="AB30" s="4">
        <v>10</v>
      </c>
      <c r="AC30" t="str">
        <f>_xlfn.TEXTJOIN(",",,"INSERT INTO assetList VALUES (",A30,B30,C30,F30,E30,G30,H30,I30,J30,K30,L30,N30,P30,Q30,R30,S30,T30,U30,V30,W30,X30,Y30,Z30,AA30,AB30,")")</f>
        <v>INSERT INTO assetList VALUES (,100029,Hotel,Hotel Wellenberg,8.54393,47.37306,4*,Niederdorfstrasse,10,8001,Zürich,Switzerland,DoubleSuperior,2021-06-10 16:00:00.000000,2021-08-19 15:00:00.000000,34,true,15,true,15,false,8,true,10,true,10,)</v>
      </c>
    </row>
    <row r="31" spans="1:29" ht="17" hidden="1" customHeight="1" x14ac:dyDescent="0.2">
      <c r="A31" s="3">
        <v>100027</v>
      </c>
      <c r="B31" s="3" t="s">
        <v>27</v>
      </c>
      <c r="C31" s="3" t="s">
        <v>136</v>
      </c>
      <c r="D31" s="5">
        <v>0.72488111316939186</v>
      </c>
      <c r="E31" s="3" t="s">
        <v>138</v>
      </c>
      <c r="F31" s="3" t="s">
        <v>137</v>
      </c>
      <c r="G31" s="3" t="s">
        <v>118</v>
      </c>
      <c r="H31" s="3" t="s">
        <v>139</v>
      </c>
      <c r="I31" s="3">
        <v>2</v>
      </c>
      <c r="J31" s="3">
        <v>8001</v>
      </c>
      <c r="K31" s="3" t="s">
        <v>33</v>
      </c>
      <c r="L31" s="3" t="s">
        <v>34</v>
      </c>
      <c r="M31" s="3"/>
      <c r="N31" s="3" t="s">
        <v>53</v>
      </c>
      <c r="O31" s="3" t="s">
        <v>36</v>
      </c>
      <c r="P31" s="3" t="s">
        <v>187</v>
      </c>
      <c r="Q31" s="3" t="s">
        <v>190</v>
      </c>
      <c r="R31" s="4">
        <v>32</v>
      </c>
      <c r="S31" s="3" t="s">
        <v>36</v>
      </c>
      <c r="T31" s="4">
        <v>15</v>
      </c>
      <c r="U31" s="3" t="s">
        <v>36</v>
      </c>
      <c r="V31" s="4">
        <v>15</v>
      </c>
      <c r="W31" s="3" t="s">
        <v>37</v>
      </c>
      <c r="X31" s="4">
        <v>8</v>
      </c>
      <c r="Y31" s="3" t="s">
        <v>36</v>
      </c>
      <c r="Z31" s="4">
        <v>10</v>
      </c>
      <c r="AA31" s="3" t="s">
        <v>36</v>
      </c>
      <c r="AB31" s="4">
        <v>10</v>
      </c>
      <c r="AC31" t="str">
        <f>_xlfn.TEXTJOIN(",",,"INSERT INTO assetList VALUES (",A31,B31,C31,F31,E31,G31,H31,I31,J31,K31,L31,N31,P31,Q31,R31,S31,T31,U31,V31,W31,X31,Y31,Z31,AA31,AB31,")")</f>
        <v>INSERT INTO assetList VALUES (,100027,Hotel,Hotel Storchen,8.54169,47.3718,5*,Weinplatz,2,8001,Zürich,Switzerland,DoubleStandard,2021-06-10 15:00:00.000000,2021-08-19 15:00:00.000000,32,true,15,true,15,false,8,true,10,true,10,)</v>
      </c>
    </row>
    <row r="32" spans="1:29" ht="17" hidden="1" customHeight="1" x14ac:dyDescent="0.2">
      <c r="A32" s="3">
        <v>100033</v>
      </c>
      <c r="B32" s="3" t="s">
        <v>27</v>
      </c>
      <c r="C32" s="3" t="s">
        <v>158</v>
      </c>
      <c r="D32" s="5">
        <v>0.77281693198386148</v>
      </c>
      <c r="E32" s="3" t="s">
        <v>159</v>
      </c>
      <c r="F32" s="3" t="s">
        <v>39</v>
      </c>
      <c r="G32" s="3" t="s">
        <v>124</v>
      </c>
      <c r="H32" s="3" t="s">
        <v>160</v>
      </c>
      <c r="I32" s="3">
        <v>17</v>
      </c>
      <c r="J32" s="3">
        <v>8001</v>
      </c>
      <c r="K32" s="3" t="s">
        <v>33</v>
      </c>
      <c r="L32" s="3" t="s">
        <v>34</v>
      </c>
      <c r="M32" s="3"/>
      <c r="N32" s="3" t="s">
        <v>161</v>
      </c>
      <c r="O32" s="3" t="s">
        <v>36</v>
      </c>
      <c r="P32" s="3" t="s">
        <v>188</v>
      </c>
      <c r="Q32" s="3" t="s">
        <v>190</v>
      </c>
      <c r="R32" s="4">
        <v>40</v>
      </c>
      <c r="S32" s="3" t="s">
        <v>36</v>
      </c>
      <c r="T32" s="4">
        <v>15</v>
      </c>
      <c r="U32" s="3" t="s">
        <v>36</v>
      </c>
      <c r="V32" s="4">
        <v>15</v>
      </c>
      <c r="W32" s="3" t="s">
        <v>36</v>
      </c>
      <c r="X32" s="4">
        <v>8</v>
      </c>
      <c r="Y32" s="3" t="s">
        <v>36</v>
      </c>
      <c r="Z32" s="4">
        <v>10</v>
      </c>
      <c r="AA32" s="3" t="s">
        <v>36</v>
      </c>
      <c r="AB32" s="4">
        <v>10</v>
      </c>
      <c r="AC32" t="str">
        <f>_xlfn.TEXTJOIN(",",,"INSERT INTO assetList VALUES (",A32,B32,C32,F32,E32,G32,H32,I32,J32,K32,L32,N32,P32,Q32,R32,S32,T32,U32,V32,W32,X32,Y32,Z32,AA32,AB32,")")</f>
        <v>INSERT INTO assetList VALUES (,100033,Hotel,Hotel Marktgasse,8.54368,47.37201,4*,Marktgasse,17,8001,Zürich,Switzerland,JuniorSuite,2021-06-10 16:00:00.000000,2021-08-19 15:00:00.000000,40,true,15,true,15,true,8,true,10,true,10,)</v>
      </c>
    </row>
    <row r="33" spans="1:39" ht="17" hidden="1" customHeight="1" x14ac:dyDescent="0.2">
      <c r="A33" s="3">
        <v>100024</v>
      </c>
      <c r="B33" s="3" t="s">
        <v>27</v>
      </c>
      <c r="C33" s="3" t="s">
        <v>126</v>
      </c>
      <c r="D33" s="5">
        <v>0.80752639116355995</v>
      </c>
      <c r="E33" s="3" t="s">
        <v>128</v>
      </c>
      <c r="F33" s="3" t="s">
        <v>127</v>
      </c>
      <c r="G33" s="3" t="s">
        <v>124</v>
      </c>
      <c r="H33" s="3" t="s">
        <v>129</v>
      </c>
      <c r="I33" s="3">
        <v>10</v>
      </c>
      <c r="J33" s="3">
        <v>8001</v>
      </c>
      <c r="K33" s="3" t="s">
        <v>33</v>
      </c>
      <c r="L33" s="3" t="s">
        <v>34</v>
      </c>
      <c r="M33" s="3"/>
      <c r="N33" s="3" t="s">
        <v>35</v>
      </c>
      <c r="O33" s="3" t="s">
        <v>36</v>
      </c>
      <c r="P33" s="3" t="s">
        <v>187</v>
      </c>
      <c r="Q33" s="3" t="s">
        <v>190</v>
      </c>
      <c r="R33" s="4">
        <v>30</v>
      </c>
      <c r="S33" s="3" t="s">
        <v>36</v>
      </c>
      <c r="T33" s="4">
        <v>15</v>
      </c>
      <c r="U33" s="3" t="s">
        <v>36</v>
      </c>
      <c r="V33" s="4">
        <v>15</v>
      </c>
      <c r="W33" s="3" t="s">
        <v>37</v>
      </c>
      <c r="X33" s="4">
        <v>8</v>
      </c>
      <c r="Y33" s="3" t="s">
        <v>36</v>
      </c>
      <c r="Z33" s="4">
        <v>10</v>
      </c>
      <c r="AA33" s="3" t="s">
        <v>36</v>
      </c>
      <c r="AB33" s="4">
        <v>10</v>
      </c>
      <c r="AC33" t="str">
        <f>_xlfn.TEXTJOIN(",",,"INSERT INTO assetList VALUES (",A33,B33,C33,F33,E33,G33,H33,I33,J33,K33,L33,N33,P33,Q33,R33,S33,T33,U33,V33,W33,X33,Y33,Z33,AA33,AB33,")")</f>
        <v>INSERT INTO assetList VALUES (,100024,Hotel,Hotel Sorell St. Peter,8.54066,47.3708,4*,In Gassen,10,8001,Zürich,Switzerland,SingleStandard,2021-06-10 15:00:00.000000,2021-08-19 15:00:00.000000,30,true,15,true,15,false,8,true,10,true,10,)</v>
      </c>
    </row>
    <row r="34" spans="1:39" ht="17" hidden="1" customHeight="1" x14ac:dyDescent="0.2">
      <c r="A34" s="3" t="s">
        <v>244</v>
      </c>
      <c r="B34" s="3" t="s">
        <v>27</v>
      </c>
      <c r="C34" s="3" t="s">
        <v>115</v>
      </c>
      <c r="D34" s="5">
        <v>0.88410965774279904</v>
      </c>
      <c r="E34" s="3" t="s">
        <v>117</v>
      </c>
      <c r="F34" s="3" t="s">
        <v>116</v>
      </c>
      <c r="G34" s="3" t="s">
        <v>118</v>
      </c>
      <c r="H34" s="3" t="s">
        <v>119</v>
      </c>
      <c r="I34" s="3">
        <v>12</v>
      </c>
      <c r="J34" s="3">
        <v>8001</v>
      </c>
      <c r="K34" s="3" t="s">
        <v>33</v>
      </c>
      <c r="L34" s="3" t="s">
        <v>34</v>
      </c>
      <c r="M34" s="3"/>
      <c r="N34" s="3" t="s">
        <v>35</v>
      </c>
      <c r="O34" s="3" t="s">
        <v>36</v>
      </c>
      <c r="P34" s="3" t="s">
        <v>272</v>
      </c>
      <c r="Q34" s="3" t="s">
        <v>273</v>
      </c>
      <c r="R34" s="4">
        <v>30</v>
      </c>
      <c r="S34" s="3" t="s">
        <v>36</v>
      </c>
      <c r="T34" s="4">
        <v>12</v>
      </c>
      <c r="U34" s="3" t="s">
        <v>36</v>
      </c>
      <c r="V34" s="4">
        <v>15</v>
      </c>
      <c r="W34" s="3" t="s">
        <v>36</v>
      </c>
      <c r="X34" s="4">
        <v>8</v>
      </c>
      <c r="Y34" s="3" t="s">
        <v>36</v>
      </c>
      <c r="Z34" s="4">
        <v>10</v>
      </c>
      <c r="AA34" s="3" t="s">
        <v>36</v>
      </c>
      <c r="AB34" s="4">
        <v>10</v>
      </c>
      <c r="AC34" t="str">
        <f>_xlfn.TEXTJOIN(",",,"INSERT INTO assetList VALUES (",A34,B34,C34,F34,E34,G34,H34,I34,J34,K34,L34,N34,P34,Q34,R34,S34,T34,U34,V34,W34,X34,Y34,Z34,AA34,AB34,")")</f>
        <v>INSERT INTO assetList VALUES (,100022.1,Hotel,Hotel Savoy Baur en Ville,8.53961,47.36997,5*,Poststrasse,12,8001,Zürich,Switzerland,SingleStandard,2021-06-11 14:00:00.000000,2021-06-12 17:00:00.000000,30,true,12,true,15,true,8,true,10,true,10,)</v>
      </c>
    </row>
    <row r="35" spans="1:39" ht="17" hidden="1" customHeight="1" x14ac:dyDescent="0.2">
      <c r="A35" s="3" t="s">
        <v>245</v>
      </c>
      <c r="B35" s="3" t="s">
        <v>27</v>
      </c>
      <c r="C35" s="3" t="s">
        <v>115</v>
      </c>
      <c r="D35" s="5">
        <v>0.88410965774279904</v>
      </c>
      <c r="E35" s="3" t="s">
        <v>117</v>
      </c>
      <c r="F35" s="3" t="s">
        <v>116</v>
      </c>
      <c r="G35" s="3" t="s">
        <v>118</v>
      </c>
      <c r="H35" s="3" t="s">
        <v>119</v>
      </c>
      <c r="I35" s="3">
        <v>12</v>
      </c>
      <c r="J35" s="3">
        <v>8001</v>
      </c>
      <c r="K35" s="3" t="s">
        <v>33</v>
      </c>
      <c r="L35" s="3" t="s">
        <v>34</v>
      </c>
      <c r="M35" s="3"/>
      <c r="N35" s="3" t="s">
        <v>35</v>
      </c>
      <c r="O35" s="3" t="s">
        <v>36</v>
      </c>
      <c r="P35" s="3" t="s">
        <v>272</v>
      </c>
      <c r="Q35" s="3" t="s">
        <v>273</v>
      </c>
      <c r="R35" s="4">
        <v>31</v>
      </c>
      <c r="S35" s="3" t="s">
        <v>36</v>
      </c>
      <c r="T35" s="4">
        <v>12</v>
      </c>
      <c r="U35" s="3" t="s">
        <v>36</v>
      </c>
      <c r="V35" s="4">
        <v>15</v>
      </c>
      <c r="W35" s="3" t="s">
        <v>36</v>
      </c>
      <c r="X35" s="4">
        <v>8</v>
      </c>
      <c r="Y35" s="3" t="s">
        <v>36</v>
      </c>
      <c r="Z35" s="4">
        <v>10</v>
      </c>
      <c r="AA35" s="3" t="s">
        <v>36</v>
      </c>
      <c r="AB35" s="4">
        <v>10</v>
      </c>
      <c r="AC35" t="str">
        <f>_xlfn.TEXTJOIN(",",,"INSERT INTO assetList VALUES (",A35,B35,C35,F35,E35,G35,H35,I35,J35,K35,L35,N35,P35,Q35,R35,S35,T35,U35,V35,W35,X35,Y35,Z35,AA35,AB35,")")</f>
        <v>INSERT INTO assetList VALUES (,100022.2,Hotel,Hotel Savoy Baur en Ville,8.53961,47.36997,5*,Poststrasse,12,8001,Zürich,Switzerland,SingleStandard,2021-06-11 14:00:00.000000,2021-06-12 17:00:00.000000,31,true,12,true,15,true,8,true,10,true,10,)</v>
      </c>
    </row>
    <row r="36" spans="1:39" ht="17" hidden="1" customHeight="1" x14ac:dyDescent="0.2">
      <c r="A36" s="3" t="s">
        <v>246</v>
      </c>
      <c r="B36" s="3" t="s">
        <v>27</v>
      </c>
      <c r="C36" s="3" t="s">
        <v>115</v>
      </c>
      <c r="D36" s="5">
        <v>0.88410965774279904</v>
      </c>
      <c r="E36" s="3" t="s">
        <v>117</v>
      </c>
      <c r="F36" s="3" t="s">
        <v>116</v>
      </c>
      <c r="G36" s="3" t="s">
        <v>118</v>
      </c>
      <c r="H36" s="3" t="s">
        <v>119</v>
      </c>
      <c r="I36" s="3">
        <v>12</v>
      </c>
      <c r="J36" s="3">
        <v>8001</v>
      </c>
      <c r="K36" s="3" t="s">
        <v>33</v>
      </c>
      <c r="L36" s="3" t="s">
        <v>34</v>
      </c>
      <c r="M36" s="3"/>
      <c r="N36" s="3" t="s">
        <v>177</v>
      </c>
      <c r="O36" s="3" t="s">
        <v>36</v>
      </c>
      <c r="P36" s="3" t="s">
        <v>272</v>
      </c>
      <c r="Q36" s="3" t="s">
        <v>273</v>
      </c>
      <c r="R36" s="4">
        <v>33</v>
      </c>
      <c r="S36" s="3" t="s">
        <v>36</v>
      </c>
      <c r="T36" s="4">
        <v>15</v>
      </c>
      <c r="U36" s="3" t="s">
        <v>36</v>
      </c>
      <c r="V36" s="4">
        <v>17</v>
      </c>
      <c r="W36" s="3" t="s">
        <v>37</v>
      </c>
      <c r="X36" s="4">
        <v>8</v>
      </c>
      <c r="Y36" s="3" t="s">
        <v>36</v>
      </c>
      <c r="Z36" s="4">
        <v>10</v>
      </c>
      <c r="AA36" s="3" t="s">
        <v>36</v>
      </c>
      <c r="AB36" s="4">
        <v>10</v>
      </c>
      <c r="AC36" t="str">
        <f>_xlfn.TEXTJOIN(",",,"INSERT INTO assetList VALUES (",A36,B36,C36,F36,E36,G36,H36,I36,J36,K36,L36,N36,P36,Q36,R36,S36,T36,U36,V36,W36,X36,Y36,Z36,AA36,AB36,")")</f>
        <v>INSERT INTO assetList VALUES (,100022.3,Hotel,Hotel Savoy Baur en Ville,8.53961,47.36997,5*,Poststrasse,12,8001,Zürich,Switzerland,"DoubleStandard",2021-06-11 14:00:00.000000,2021-06-12 17:00:00.000000,33,true,15,true,17,false,8,true,10,true,10,)</v>
      </c>
    </row>
    <row r="37" spans="1:39" ht="17" hidden="1" customHeight="1" x14ac:dyDescent="0.2">
      <c r="A37" s="3" t="s">
        <v>247</v>
      </c>
      <c r="B37" s="3" t="s">
        <v>27</v>
      </c>
      <c r="C37" s="3" t="s">
        <v>115</v>
      </c>
      <c r="D37" s="5">
        <v>0.88410965774279904</v>
      </c>
      <c r="E37" s="3" t="s">
        <v>117</v>
      </c>
      <c r="F37" s="3" t="s">
        <v>116</v>
      </c>
      <c r="G37" s="3" t="s">
        <v>118</v>
      </c>
      <c r="H37" s="3" t="s">
        <v>119</v>
      </c>
      <c r="I37" s="3">
        <v>12</v>
      </c>
      <c r="J37" s="3">
        <v>8001</v>
      </c>
      <c r="K37" s="3" t="s">
        <v>33</v>
      </c>
      <c r="L37" s="3" t="s">
        <v>34</v>
      </c>
      <c r="M37" s="3"/>
      <c r="N37" s="3" t="s">
        <v>182</v>
      </c>
      <c r="O37" s="3" t="s">
        <v>36</v>
      </c>
      <c r="P37" s="3" t="s">
        <v>272</v>
      </c>
      <c r="Q37" s="3" t="s">
        <v>273</v>
      </c>
      <c r="R37" s="4">
        <v>35</v>
      </c>
      <c r="S37" s="3" t="s">
        <v>36</v>
      </c>
      <c r="T37" s="4">
        <v>17</v>
      </c>
      <c r="U37" s="3" t="s">
        <v>36</v>
      </c>
      <c r="V37" s="4">
        <v>17</v>
      </c>
      <c r="W37" s="3" t="s">
        <v>37</v>
      </c>
      <c r="X37" s="4">
        <v>8</v>
      </c>
      <c r="Y37" s="3" t="s">
        <v>36</v>
      </c>
      <c r="Z37" s="4">
        <v>10</v>
      </c>
      <c r="AA37" s="3" t="s">
        <v>36</v>
      </c>
      <c r="AB37" s="4">
        <v>10</v>
      </c>
      <c r="AC37" t="str">
        <f>_xlfn.TEXTJOIN(",",,"INSERT INTO assetList VALUES (",A37,B37,C37,F37,E37,G37,H37,I37,J37,K37,L37,N37,P37,Q37,R37,S37,T37,U37,V37,W37,X37,Y37,Z37,AA37,AB37,")")</f>
        <v>INSERT INTO assetList VALUES (,100022.4,Hotel,Hotel Savoy Baur en Ville,8.53961,47.36997,5*,Poststrasse,12,8001,Zürich,Switzerland,"DoubleBusiness",2021-06-11 14:00:00.000000,2021-06-12 17:00:00.000000,35,true,17,true,17,false,8,true,10,true,10,)</v>
      </c>
    </row>
    <row r="38" spans="1:39" ht="17" customHeight="1" x14ac:dyDescent="0.2">
      <c r="A38" s="3">
        <v>100006</v>
      </c>
      <c r="B38" s="3" t="s">
        <v>27</v>
      </c>
      <c r="C38" s="3" t="s">
        <v>54</v>
      </c>
      <c r="D38" s="5">
        <v>0.95076479464634567</v>
      </c>
      <c r="E38" s="3" t="s">
        <v>56</v>
      </c>
      <c r="F38" s="3" t="s">
        <v>55</v>
      </c>
      <c r="G38" s="3" t="s">
        <v>31</v>
      </c>
      <c r="H38" s="3" t="s">
        <v>57</v>
      </c>
      <c r="I38" s="3">
        <v>4</v>
      </c>
      <c r="J38" s="3">
        <v>8001</v>
      </c>
      <c r="K38" s="3" t="s">
        <v>33</v>
      </c>
      <c r="L38" s="3" t="s">
        <v>34</v>
      </c>
      <c r="M38" s="3"/>
      <c r="N38" s="3" t="s">
        <v>53</v>
      </c>
      <c r="O38" s="3" t="s">
        <v>36</v>
      </c>
      <c r="P38" s="3" t="s">
        <v>184</v>
      </c>
      <c r="Q38" s="3" t="s">
        <v>189</v>
      </c>
      <c r="R38" s="4">
        <v>23</v>
      </c>
      <c r="S38" s="3" t="s">
        <v>36</v>
      </c>
      <c r="T38" s="4">
        <v>10</v>
      </c>
      <c r="U38" s="3" t="s">
        <v>36</v>
      </c>
      <c r="V38" s="4">
        <v>10</v>
      </c>
      <c r="W38" s="3" t="s">
        <v>36</v>
      </c>
      <c r="X38" s="4">
        <v>5</v>
      </c>
      <c r="Y38" s="3" t="s">
        <v>37</v>
      </c>
      <c r="Z38" s="4">
        <v>10</v>
      </c>
      <c r="AA38" s="3" t="s">
        <v>37</v>
      </c>
      <c r="AB38" s="4">
        <v>10</v>
      </c>
      <c r="AC38" t="str">
        <f>_xlfn.TEXTJOIN(",",,"INSERT INTO assetList VALUES (",A38,B38,C38,F38,E38,G38,H38,I38,J38,K38,L38,N38,P38,Q38,R38,S38,T38,U38,V38,W38,X38,Y38,Z38,AA38,AB38,")")</f>
        <v>INSERT INTO assetList VALUES (,100006,Hotel,Hotel Florhof,8.54795,47.37248,3*,Florhofgasse,4,8001,Zürich,Switzerland,DoubleStandard,2021-06-10 13:30:00.000000,2021-06-11 12:00:00.000000,23,true,10,true,10,true,5,false,10,false,10,)</v>
      </c>
    </row>
    <row r="39" spans="1:39" ht="17" customHeight="1" x14ac:dyDescent="0.2">
      <c r="A39" s="3" t="s">
        <v>191</v>
      </c>
      <c r="B39" s="3" t="s">
        <v>27</v>
      </c>
      <c r="C39" s="3" t="s">
        <v>28</v>
      </c>
      <c r="D39" s="5">
        <v>1.0466116198846929</v>
      </c>
      <c r="E39" s="3" t="s">
        <v>30</v>
      </c>
      <c r="F39" s="3" t="s">
        <v>29</v>
      </c>
      <c r="G39" s="3" t="s">
        <v>31</v>
      </c>
      <c r="H39" s="3" t="s">
        <v>32</v>
      </c>
      <c r="I39" s="3">
        <v>4</v>
      </c>
      <c r="J39" s="3">
        <v>8001</v>
      </c>
      <c r="K39" s="3" t="s">
        <v>33</v>
      </c>
      <c r="L39" s="3" t="s">
        <v>34</v>
      </c>
      <c r="M39" s="3"/>
      <c r="N39" s="3" t="s">
        <v>35</v>
      </c>
      <c r="O39" s="3" t="s">
        <v>36</v>
      </c>
      <c r="P39" s="3" t="s">
        <v>183</v>
      </c>
      <c r="Q39" s="3" t="s">
        <v>189</v>
      </c>
      <c r="R39" s="4">
        <v>20</v>
      </c>
      <c r="S39" s="3" t="s">
        <v>36</v>
      </c>
      <c r="T39" s="4">
        <v>10</v>
      </c>
      <c r="U39" s="3" t="s">
        <v>36</v>
      </c>
      <c r="V39" s="4">
        <v>10</v>
      </c>
      <c r="W39" s="3" t="s">
        <v>36</v>
      </c>
      <c r="X39" s="4">
        <v>5</v>
      </c>
      <c r="Y39" s="3" t="s">
        <v>37</v>
      </c>
      <c r="Z39" s="4">
        <v>10</v>
      </c>
      <c r="AA39" s="3" t="s">
        <v>37</v>
      </c>
      <c r="AB39" s="4">
        <v>10</v>
      </c>
      <c r="AC39" t="str">
        <f>_xlfn.TEXTJOIN(",",,"INSERT INTO assetList VALUES (",A39,B39,C39,F39,E39,G39,H39,I39,J39,K39,L39,N39,P39,Q39,R39,S39,T39,U39,V39,W39,X39,Y39,Z39,AA39,AB39,")")</f>
        <v>INSERT INTO assetList VALUES (,100001.1,Hotel,Hotel Altstadt,8.54411,47.36936,3*,Kirchgasse,4,8001,Zürich,Switzerland,SingleStandard,2021-06-10 13:00:00.000000,2021-06-11 12:00:00.000000,20,true,10,true,10,true,5,false,10,false,10,)</v>
      </c>
    </row>
    <row r="40" spans="1:39" ht="17" customHeight="1" x14ac:dyDescent="0.2">
      <c r="A40" s="3" t="s">
        <v>192</v>
      </c>
      <c r="B40" s="3" t="s">
        <v>27</v>
      </c>
      <c r="C40" s="3" t="s">
        <v>28</v>
      </c>
      <c r="D40" s="5">
        <v>1.0466116198846929</v>
      </c>
      <c r="E40" s="3" t="s">
        <v>30</v>
      </c>
      <c r="F40" s="3" t="s">
        <v>29</v>
      </c>
      <c r="G40" s="3" t="s">
        <v>31</v>
      </c>
      <c r="H40" s="3" t="s">
        <v>32</v>
      </c>
      <c r="I40" s="3">
        <v>4</v>
      </c>
      <c r="J40" s="3">
        <v>8001</v>
      </c>
      <c r="K40" s="3" t="s">
        <v>33</v>
      </c>
      <c r="L40" s="3" t="s">
        <v>34</v>
      </c>
      <c r="M40" s="3"/>
      <c r="N40" s="3" t="s">
        <v>174</v>
      </c>
      <c r="O40" s="3" t="s">
        <v>36</v>
      </c>
      <c r="P40" s="3" t="s">
        <v>183</v>
      </c>
      <c r="Q40" s="3" t="s">
        <v>189</v>
      </c>
      <c r="R40" s="4">
        <v>25</v>
      </c>
      <c r="S40" s="3" t="s">
        <v>36</v>
      </c>
      <c r="T40" s="4">
        <v>10</v>
      </c>
      <c r="U40" s="3" t="s">
        <v>36</v>
      </c>
      <c r="V40" s="4">
        <v>10</v>
      </c>
      <c r="W40" s="3" t="s">
        <v>36</v>
      </c>
      <c r="X40" s="4">
        <v>5</v>
      </c>
      <c r="Y40" s="3" t="s">
        <v>37</v>
      </c>
      <c r="Z40" s="4">
        <v>10</v>
      </c>
      <c r="AA40" s="3" t="s">
        <v>37</v>
      </c>
      <c r="AB40" s="4">
        <v>10</v>
      </c>
      <c r="AC40" t="str">
        <f>_xlfn.TEXTJOIN(",",,"INSERT INTO assetList VALUES (",A40,B40,C40,F40,E40,G40,H40,I40,J40,K40,L40,N40,P40,Q40,R40,S40,T40,U40,V40,W40,X40,Y40,Z40,AA40,AB40,")")</f>
        <v>INSERT INTO assetList VALUES (,100001.2,Hotel,Hotel Altstadt,8.54411,47.36936,3*,Kirchgasse,4,8001,Zürich,Switzerland,"SingelBusiness",2021-06-10 13:00:00.000000,2021-06-11 12:00:00.000000,25,true,10,true,10,true,5,false,10,false,10,)</v>
      </c>
    </row>
    <row r="41" spans="1:39" ht="17" customHeight="1" x14ac:dyDescent="0.2">
      <c r="A41" s="3" t="s">
        <v>193</v>
      </c>
      <c r="B41" s="3" t="s">
        <v>27</v>
      </c>
      <c r="C41" s="3" t="s">
        <v>28</v>
      </c>
      <c r="D41" s="5">
        <v>1.0466116198846929</v>
      </c>
      <c r="E41" s="3" t="s">
        <v>30</v>
      </c>
      <c r="F41" s="3" t="s">
        <v>29</v>
      </c>
      <c r="G41" s="3" t="s">
        <v>31</v>
      </c>
      <c r="H41" s="3" t="s">
        <v>32</v>
      </c>
      <c r="I41" s="3">
        <v>4</v>
      </c>
      <c r="J41" s="3">
        <v>8001</v>
      </c>
      <c r="K41" s="3" t="s">
        <v>33</v>
      </c>
      <c r="L41" s="3" t="s">
        <v>34</v>
      </c>
      <c r="M41" s="3"/>
      <c r="N41" s="3" t="s">
        <v>161</v>
      </c>
      <c r="O41" s="3" t="s">
        <v>36</v>
      </c>
      <c r="P41" s="3" t="s">
        <v>183</v>
      </c>
      <c r="Q41" s="3" t="s">
        <v>189</v>
      </c>
      <c r="R41" s="4">
        <v>30</v>
      </c>
      <c r="S41" s="3" t="s">
        <v>36</v>
      </c>
      <c r="T41" s="4">
        <v>10</v>
      </c>
      <c r="U41" s="3" t="s">
        <v>36</v>
      </c>
      <c r="V41" s="4">
        <v>10</v>
      </c>
      <c r="W41" s="3" t="s">
        <v>36</v>
      </c>
      <c r="X41" s="4">
        <v>5</v>
      </c>
      <c r="Y41" s="3" t="s">
        <v>37</v>
      </c>
      <c r="Z41" s="4">
        <v>10</v>
      </c>
      <c r="AA41" s="3" t="s">
        <v>37</v>
      </c>
      <c r="AB41" s="4">
        <v>10</v>
      </c>
      <c r="AC41" t="str">
        <f>_xlfn.TEXTJOIN(",",,"INSERT INTO assetList VALUES (",A41,B41,C41,F41,E41,G41,H41,I41,J41,K41,L41,N41,P41,Q41,R41,S41,T41,U41,V41,W41,X41,Y41,Z41,AA41,AB41,")")</f>
        <v>INSERT INTO assetList VALUES (,100001.3,Hotel,Hotel Altstadt,8.54411,47.36936,3*,Kirchgasse,4,8001,Zürich,Switzerland,JuniorSuite,2021-06-10 13:00:00.000000,2021-06-11 12:00:00.000000,30,true,10,true,10,true,5,false,10,false,10,)</v>
      </c>
    </row>
    <row r="42" spans="1:39" ht="17" hidden="1" customHeight="1" x14ac:dyDescent="0.2">
      <c r="A42" s="3">
        <v>100030</v>
      </c>
      <c r="B42" s="3" t="s">
        <v>27</v>
      </c>
      <c r="C42" s="3" t="s">
        <v>147</v>
      </c>
      <c r="D42" s="5">
        <v>1.0671699317120784</v>
      </c>
      <c r="E42" s="3" t="s">
        <v>149</v>
      </c>
      <c r="F42" s="3" t="s">
        <v>148</v>
      </c>
      <c r="G42" s="3" t="s">
        <v>124</v>
      </c>
      <c r="H42" s="3" t="s">
        <v>102</v>
      </c>
      <c r="I42" s="3">
        <v>30</v>
      </c>
      <c r="J42" s="3">
        <v>8001</v>
      </c>
      <c r="K42" s="3" t="s">
        <v>33</v>
      </c>
      <c r="L42" s="3" t="s">
        <v>34</v>
      </c>
      <c r="M42" s="3"/>
      <c r="N42" s="3" t="s">
        <v>103</v>
      </c>
      <c r="O42" s="3" t="s">
        <v>36</v>
      </c>
      <c r="P42" s="3" t="s">
        <v>188</v>
      </c>
      <c r="Q42" s="3" t="s">
        <v>190</v>
      </c>
      <c r="R42" s="4">
        <v>36</v>
      </c>
      <c r="S42" s="3" t="s">
        <v>36</v>
      </c>
      <c r="T42" s="4">
        <v>15</v>
      </c>
      <c r="U42" s="3" t="s">
        <v>36</v>
      </c>
      <c r="V42" s="4">
        <v>15</v>
      </c>
      <c r="W42" s="3" t="s">
        <v>37</v>
      </c>
      <c r="X42" s="4">
        <v>8</v>
      </c>
      <c r="Y42" s="3" t="s">
        <v>36</v>
      </c>
      <c r="Z42" s="4">
        <v>10</v>
      </c>
      <c r="AA42" s="3" t="s">
        <v>36</v>
      </c>
      <c r="AB42" s="4">
        <v>10</v>
      </c>
      <c r="AC42" t="str">
        <f>_xlfn.TEXTJOIN(",",,"INSERT INTO assetList VALUES (",A42,B42,C42,F42,E42,G42,H42,I42,J42,K42,L42,N42,P42,Q42,R42,S42,T42,U42,V42,W42,X42,Y42,Z42,AA42,AB42,")")</f>
        <v>INSERT INTO assetList VALUES (,100030,Hotel,Hotel Helmhaus,8.54406,47.36914,4*,Schifflände,30,8001,Zürich,Switzerland,DoubleBusiness,2021-06-10 16:00:00.000000,2021-08-19 15:00:00.000000,36,true,15,true,15,false,8,true,10,true,10,)</v>
      </c>
    </row>
    <row r="43" spans="1:39" ht="17" customHeight="1" x14ac:dyDescent="0.2">
      <c r="A43" s="3">
        <v>100013</v>
      </c>
      <c r="B43" s="3" t="s">
        <v>27</v>
      </c>
      <c r="C43" s="3" t="s">
        <v>80</v>
      </c>
      <c r="D43" s="5">
        <v>1.0691399034432465</v>
      </c>
      <c r="E43" s="3" t="s">
        <v>82</v>
      </c>
      <c r="F43" s="3" t="s">
        <v>81</v>
      </c>
      <c r="G43" s="3" t="s">
        <v>31</v>
      </c>
      <c r="H43" s="3" t="s">
        <v>83</v>
      </c>
      <c r="I43" s="3">
        <v>7</v>
      </c>
      <c r="J43" s="3">
        <v>8001</v>
      </c>
      <c r="K43" s="3" t="s">
        <v>33</v>
      </c>
      <c r="L43" s="3" t="s">
        <v>34</v>
      </c>
      <c r="M43" s="3"/>
      <c r="N43" s="3" t="s">
        <v>53</v>
      </c>
      <c r="O43" s="3" t="s">
        <v>36</v>
      </c>
      <c r="P43" s="3" t="s">
        <v>185</v>
      </c>
      <c r="Q43" s="3" t="s">
        <v>189</v>
      </c>
      <c r="R43" s="4">
        <v>25</v>
      </c>
      <c r="S43" s="3" t="s">
        <v>36</v>
      </c>
      <c r="T43" s="4">
        <v>10</v>
      </c>
      <c r="U43" s="3" t="s">
        <v>36</v>
      </c>
      <c r="V43" s="4">
        <v>10</v>
      </c>
      <c r="W43" s="3" t="s">
        <v>37</v>
      </c>
      <c r="X43" s="4">
        <v>5</v>
      </c>
      <c r="Y43" s="3" t="s">
        <v>37</v>
      </c>
      <c r="Z43" s="4">
        <v>10</v>
      </c>
      <c r="AA43" s="3" t="s">
        <v>37</v>
      </c>
      <c r="AB43" s="4">
        <v>10</v>
      </c>
      <c r="AC43" t="str">
        <f>_xlfn.TEXTJOIN(",",,"INSERT INTO assetList VALUES (",A43,B43,C43,F43,E43,G43,H43,I43,J43,K43,L43,N43,P43,Q43,R43,S43,T43,U43,V43,W43,X43,Y43,Z43,AA43,AB43,")")</f>
        <v>INSERT INTO assetList VALUES (,100013,Hotel,Hotel Rösli,8.54443,47.36924,3*,Rösligasse,7,8001,Zürich,Switzerland,DoubleStandard,2021-06-10 14:00:00.000000,2021-06-11 12:00:00.000000,25,true,10,true,10,false,5,false,10,false,10,)</v>
      </c>
    </row>
    <row r="44" spans="1:39" ht="17" hidden="1" customHeight="1" x14ac:dyDescent="0.2">
      <c r="A44" s="3">
        <v>100018</v>
      </c>
      <c r="B44" s="3" t="s">
        <v>27</v>
      </c>
      <c r="C44" s="3" t="s">
        <v>99</v>
      </c>
      <c r="D44" s="5">
        <v>1.1267320013103732</v>
      </c>
      <c r="E44" s="3" t="s">
        <v>101</v>
      </c>
      <c r="F44" s="3" t="s">
        <v>100</v>
      </c>
      <c r="G44" s="3" t="s">
        <v>31</v>
      </c>
      <c r="H44" s="3" t="s">
        <v>102</v>
      </c>
      <c r="I44" s="3">
        <v>18</v>
      </c>
      <c r="J44" s="3">
        <v>8001</v>
      </c>
      <c r="K44" s="3" t="s">
        <v>33</v>
      </c>
      <c r="L44" s="3" t="s">
        <v>34</v>
      </c>
      <c r="M44" s="3"/>
      <c r="N44" s="3" t="s">
        <v>103</v>
      </c>
      <c r="O44" s="3" t="s">
        <v>36</v>
      </c>
      <c r="P44" s="3" t="s">
        <v>272</v>
      </c>
      <c r="Q44" s="3" t="s">
        <v>273</v>
      </c>
      <c r="R44" s="4">
        <v>27</v>
      </c>
      <c r="S44" s="3" t="s">
        <v>36</v>
      </c>
      <c r="T44" s="4">
        <v>10</v>
      </c>
      <c r="U44" s="3" t="s">
        <v>36</v>
      </c>
      <c r="V44" s="4">
        <v>10</v>
      </c>
      <c r="W44" s="3" t="s">
        <v>36</v>
      </c>
      <c r="X44" s="4">
        <v>5</v>
      </c>
      <c r="Y44" s="3" t="s">
        <v>37</v>
      </c>
      <c r="Z44" s="4">
        <v>10</v>
      </c>
      <c r="AA44" s="3" t="s">
        <v>37</v>
      </c>
      <c r="AB44" s="4">
        <v>10</v>
      </c>
      <c r="AC44" t="str">
        <f>_xlfn.TEXTJOIN(",",,"INSERT INTO assetList VALUES (",A44,B44,C44,F44,E44,G44,H44,I44,J44,K44,L44,N44,P44,Q44,R44,S44,T44,U44,V44,W44,X44,Y44,Z44,AA44,AB44,")")</f>
        <v>INSERT INTO assetList VALUES (,100018,Hotel,Hotel California,8.5446,47.36872,3*,Schifflände,18,8001,Zürich,Switzerland,DoubleBusiness,2021-06-11 14:00:00.000000,2021-06-12 17:00:00.000000,27,true,10,true,10,true,5,false,10,false,10,)</v>
      </c>
    </row>
    <row r="45" spans="1:39" ht="17" customHeight="1" x14ac:dyDescent="0.2">
      <c r="A45" s="3" t="s">
        <v>195</v>
      </c>
      <c r="B45" s="3" t="s">
        <v>27</v>
      </c>
      <c r="C45" s="3" t="s">
        <v>42</v>
      </c>
      <c r="D45" s="5">
        <v>1.1886810327537312</v>
      </c>
      <c r="E45" s="3" t="s">
        <v>44</v>
      </c>
      <c r="F45" s="3" t="s">
        <v>43</v>
      </c>
      <c r="G45" s="3" t="s">
        <v>31</v>
      </c>
      <c r="H45" s="3" t="s">
        <v>45</v>
      </c>
      <c r="I45" s="3">
        <v>26</v>
      </c>
      <c r="J45" s="3">
        <v>8032</v>
      </c>
      <c r="K45" s="3" t="s">
        <v>33</v>
      </c>
      <c r="L45" s="3" t="s">
        <v>34</v>
      </c>
      <c r="M45" s="3"/>
      <c r="N45" s="3" t="s">
        <v>161</v>
      </c>
      <c r="O45" s="3" t="s">
        <v>36</v>
      </c>
      <c r="P45" s="3" t="s">
        <v>183</v>
      </c>
      <c r="Q45" s="3" t="s">
        <v>189</v>
      </c>
      <c r="R45" s="4">
        <v>29</v>
      </c>
      <c r="S45" s="3" t="s">
        <v>36</v>
      </c>
      <c r="T45" s="4">
        <v>10</v>
      </c>
      <c r="U45" s="3" t="s">
        <v>36</v>
      </c>
      <c r="V45" s="4">
        <v>10</v>
      </c>
      <c r="W45" s="3" t="s">
        <v>37</v>
      </c>
      <c r="X45" s="4">
        <v>5</v>
      </c>
      <c r="Y45" s="3" t="s">
        <v>36</v>
      </c>
      <c r="Z45" s="4">
        <v>10</v>
      </c>
      <c r="AA45" s="3" t="s">
        <v>37</v>
      </c>
      <c r="AB45" s="4">
        <v>10</v>
      </c>
      <c r="AC45" t="str">
        <f>_xlfn.TEXTJOIN(",",,"INSERT INTO assetList VALUES (",A45,B45,C45,F45,E45,G45,H45,I45,J45,K45,L45,N45,P45,Q45,R45,S45,T45,U45,V45,W45,X45,Y45,Z45,AA45,AB45,")")</f>
        <v>INSERT INTO assetList VALUES (,100003.1,Hotel,Hotel Plattenhof,8.55302,47.3743,3*,Plattenstrasse,26,8032,Zürich,Switzerland,JuniorSuite,2021-06-10 13:00:00.000000,2021-06-11 12:00:00.000000,29,true,10,true,10,false,5,true,10,false,10,)</v>
      </c>
    </row>
    <row r="46" spans="1:39" ht="17" customHeight="1" x14ac:dyDescent="0.2">
      <c r="A46" s="3" t="s">
        <v>200</v>
      </c>
      <c r="B46" s="3" t="s">
        <v>27</v>
      </c>
      <c r="C46" s="3" t="s">
        <v>42</v>
      </c>
      <c r="D46" s="5">
        <v>1.1886810327537312</v>
      </c>
      <c r="E46" s="3" t="s">
        <v>44</v>
      </c>
      <c r="F46" s="3" t="s">
        <v>43</v>
      </c>
      <c r="G46" s="3" t="s">
        <v>31</v>
      </c>
      <c r="H46" s="3" t="s">
        <v>45</v>
      </c>
      <c r="I46" s="3">
        <v>26</v>
      </c>
      <c r="J46" s="3">
        <v>8032</v>
      </c>
      <c r="K46" s="3" t="s">
        <v>33</v>
      </c>
      <c r="L46" s="3" t="s">
        <v>34</v>
      </c>
      <c r="M46" s="3"/>
      <c r="N46" s="3" t="s">
        <v>174</v>
      </c>
      <c r="O46" s="3" t="s">
        <v>36</v>
      </c>
      <c r="P46" s="3" t="s">
        <v>183</v>
      </c>
      <c r="Q46" s="3" t="s">
        <v>189</v>
      </c>
      <c r="R46" s="4">
        <v>20</v>
      </c>
      <c r="S46" s="3" t="s">
        <v>36</v>
      </c>
      <c r="T46" s="4">
        <v>10</v>
      </c>
      <c r="U46" s="3" t="s">
        <v>36</v>
      </c>
      <c r="V46" s="4">
        <v>10</v>
      </c>
      <c r="W46" s="3" t="s">
        <v>37</v>
      </c>
      <c r="X46" s="4">
        <v>5</v>
      </c>
      <c r="Y46" s="3" t="s">
        <v>36</v>
      </c>
      <c r="Z46" s="4">
        <v>10</v>
      </c>
      <c r="AA46" s="3" t="s">
        <v>36</v>
      </c>
      <c r="AB46" s="4">
        <v>10</v>
      </c>
      <c r="AC46" t="str">
        <f>_xlfn.TEXTJOIN(",",,"INSERT INTO assetList VALUES (",A46,B46,C46,F46,E46,G46,H46,I46,J46,K46,L46,N46,P46,Q46,R46,S46,T46,U46,V46,W46,X46,Y46,Z46,AA46,AB46,")")</f>
        <v>INSERT INTO assetList VALUES (,100003.2,Hotel,Hotel Plattenhof,8.55302,47.3743,3*,Plattenstrasse,26,8032,Zürich,Switzerland,"SingelBusiness",2021-06-10 13:00:00.000000,2021-06-11 12:00:00.000000,20,true,10,true,10,false,5,true,10,true,10,)</v>
      </c>
    </row>
    <row r="47" spans="1:39" ht="17" hidden="1" customHeight="1" x14ac:dyDescent="0.2">
      <c r="A47" s="3" t="s">
        <v>203</v>
      </c>
      <c r="B47" s="3" t="s">
        <v>27</v>
      </c>
      <c r="C47" s="3" t="s">
        <v>202</v>
      </c>
      <c r="D47" s="5">
        <v>63.03607008120904</v>
      </c>
      <c r="E47" s="3">
        <v>47.421420500000004</v>
      </c>
      <c r="F47" s="3">
        <v>9.3731755999999997</v>
      </c>
      <c r="G47" s="3" t="s">
        <v>124</v>
      </c>
      <c r="H47" s="3" t="s">
        <v>204</v>
      </c>
      <c r="I47" s="3">
        <v>2</v>
      </c>
      <c r="J47" s="3">
        <v>9000</v>
      </c>
      <c r="K47" s="3" t="s">
        <v>205</v>
      </c>
      <c r="L47" s="3" t="s">
        <v>34</v>
      </c>
      <c r="N47" s="3" t="s">
        <v>161</v>
      </c>
      <c r="O47" s="3" t="s">
        <v>36</v>
      </c>
      <c r="P47" s="3" t="s">
        <v>188</v>
      </c>
      <c r="Q47" s="3" t="s">
        <v>190</v>
      </c>
      <c r="R47" s="6">
        <v>50</v>
      </c>
      <c r="S47" s="7" t="s">
        <v>36</v>
      </c>
      <c r="T47" s="6">
        <v>15</v>
      </c>
      <c r="U47" s="7" t="s">
        <v>36</v>
      </c>
      <c r="V47" s="6">
        <v>15</v>
      </c>
      <c r="W47" s="7" t="s">
        <v>36</v>
      </c>
      <c r="X47" s="6">
        <v>8</v>
      </c>
      <c r="Y47" s="7" t="s">
        <v>36</v>
      </c>
      <c r="Z47" s="6">
        <v>10</v>
      </c>
      <c r="AA47" s="7" t="s">
        <v>36</v>
      </c>
      <c r="AB47" s="6">
        <v>10</v>
      </c>
      <c r="AC47" s="8" t="s">
        <v>206</v>
      </c>
      <c r="AD47" s="8"/>
      <c r="AE47" s="8"/>
      <c r="AF47" s="8"/>
      <c r="AG47" s="8"/>
      <c r="AM47" s="8"/>
    </row>
    <row r="48" spans="1:39" ht="17" hidden="1" customHeight="1" x14ac:dyDescent="0.2">
      <c r="A48" s="3" t="s">
        <v>213</v>
      </c>
      <c r="B48" s="3" t="s">
        <v>27</v>
      </c>
      <c r="C48" s="3" t="s">
        <v>250</v>
      </c>
      <c r="D48" s="5">
        <v>63.240655428376961</v>
      </c>
      <c r="E48" s="3" t="s">
        <v>211</v>
      </c>
      <c r="F48" s="3" t="s">
        <v>214</v>
      </c>
      <c r="G48" s="3" t="s">
        <v>31</v>
      </c>
      <c r="H48" s="3" t="s">
        <v>215</v>
      </c>
      <c r="I48" s="3" t="s">
        <v>216</v>
      </c>
      <c r="J48" s="3">
        <v>9000</v>
      </c>
      <c r="K48" s="3" t="s">
        <v>205</v>
      </c>
      <c r="L48" s="3" t="s">
        <v>34</v>
      </c>
      <c r="N48" s="3" t="s">
        <v>53</v>
      </c>
      <c r="O48" s="3" t="s">
        <v>36</v>
      </c>
      <c r="P48" s="3" t="s">
        <v>188</v>
      </c>
      <c r="Q48" s="3" t="s">
        <v>190</v>
      </c>
      <c r="R48" s="6">
        <v>35</v>
      </c>
      <c r="S48" s="7" t="s">
        <v>36</v>
      </c>
      <c r="T48" s="6">
        <v>10</v>
      </c>
      <c r="U48" s="7" t="s">
        <v>36</v>
      </c>
      <c r="V48" s="6">
        <v>10</v>
      </c>
      <c r="W48" s="7" t="s">
        <v>36</v>
      </c>
      <c r="X48" s="6">
        <v>8</v>
      </c>
      <c r="Y48" s="7" t="s">
        <v>36</v>
      </c>
      <c r="Z48" s="6">
        <v>8</v>
      </c>
      <c r="AA48" s="7" t="s">
        <v>36</v>
      </c>
      <c r="AB48" s="6">
        <v>10</v>
      </c>
      <c r="AC48" s="8" t="s">
        <v>206</v>
      </c>
      <c r="AD48" s="8"/>
      <c r="AE48" s="8"/>
      <c r="AF48" s="8"/>
      <c r="AG48" s="8"/>
      <c r="AM48" s="8"/>
    </row>
    <row r="49" spans="1:39" ht="17" hidden="1" customHeight="1" x14ac:dyDescent="0.2">
      <c r="A49" s="3" t="s">
        <v>208</v>
      </c>
      <c r="B49" s="3" t="s">
        <v>27</v>
      </c>
      <c r="C49" s="3" t="s">
        <v>207</v>
      </c>
      <c r="D49" s="5">
        <v>63.405127620305684</v>
      </c>
      <c r="E49" s="3" t="s">
        <v>211</v>
      </c>
      <c r="F49" s="3" t="s">
        <v>212</v>
      </c>
      <c r="G49" s="3" t="s">
        <v>124</v>
      </c>
      <c r="H49" s="3" t="s">
        <v>209</v>
      </c>
      <c r="I49" s="3" t="s">
        <v>210</v>
      </c>
      <c r="J49" s="3">
        <v>9000</v>
      </c>
      <c r="K49" s="3" t="s">
        <v>205</v>
      </c>
      <c r="L49" s="3" t="s">
        <v>34</v>
      </c>
      <c r="N49" s="3" t="s">
        <v>161</v>
      </c>
      <c r="O49" s="3" t="s">
        <v>36</v>
      </c>
      <c r="P49" s="3" t="s">
        <v>188</v>
      </c>
      <c r="Q49" s="3" t="s">
        <v>190</v>
      </c>
      <c r="R49" s="6">
        <v>50</v>
      </c>
      <c r="S49" s="7" t="s">
        <v>36</v>
      </c>
      <c r="T49" s="6">
        <v>15</v>
      </c>
      <c r="U49" s="7" t="s">
        <v>36</v>
      </c>
      <c r="V49" s="6">
        <v>15</v>
      </c>
      <c r="W49" s="7" t="s">
        <v>36</v>
      </c>
      <c r="X49" s="6">
        <v>8</v>
      </c>
      <c r="Y49" s="7" t="s">
        <v>36</v>
      </c>
      <c r="Z49" s="6">
        <v>10</v>
      </c>
      <c r="AA49" s="7" t="s">
        <v>36</v>
      </c>
      <c r="AB49" s="6">
        <v>8</v>
      </c>
      <c r="AC49" s="8" t="s">
        <v>206</v>
      </c>
      <c r="AD49" s="8"/>
      <c r="AE49" s="8"/>
      <c r="AF49" s="8"/>
      <c r="AG49" s="8"/>
      <c r="AH49" s="8"/>
    </row>
    <row r="50" spans="1:39" ht="17" hidden="1" customHeight="1" x14ac:dyDescent="0.2">
      <c r="A50" s="3" t="s">
        <v>218</v>
      </c>
      <c r="B50" s="3" t="s">
        <v>27</v>
      </c>
      <c r="C50" t="s">
        <v>217</v>
      </c>
      <c r="D50" s="5">
        <v>74.844552785261953</v>
      </c>
      <c r="E50" s="3" t="s">
        <v>219</v>
      </c>
      <c r="F50" s="3" t="s">
        <v>220</v>
      </c>
      <c r="G50" s="3" t="s">
        <v>118</v>
      </c>
      <c r="H50" t="s">
        <v>222</v>
      </c>
      <c r="I50" s="3" t="s">
        <v>120</v>
      </c>
      <c r="J50" s="3" t="s">
        <v>223</v>
      </c>
      <c r="K50" s="3" t="s">
        <v>221</v>
      </c>
      <c r="L50" s="3" t="s">
        <v>34</v>
      </c>
      <c r="N50" s="3" t="s">
        <v>35</v>
      </c>
      <c r="O50" s="3" t="s">
        <v>36</v>
      </c>
      <c r="P50" s="3" t="s">
        <v>188</v>
      </c>
      <c r="Q50" s="3" t="s">
        <v>190</v>
      </c>
      <c r="R50" s="6">
        <v>60</v>
      </c>
      <c r="S50" s="7" t="s">
        <v>36</v>
      </c>
      <c r="T50" s="6">
        <v>20</v>
      </c>
      <c r="U50" s="7" t="s">
        <v>36</v>
      </c>
      <c r="V50" s="6">
        <v>20</v>
      </c>
      <c r="W50" s="7" t="s">
        <v>36</v>
      </c>
      <c r="X50" s="6">
        <v>12</v>
      </c>
      <c r="Y50" s="7" t="s">
        <v>36</v>
      </c>
      <c r="Z50" s="6">
        <v>12</v>
      </c>
      <c r="AA50" s="7" t="s">
        <v>36</v>
      </c>
      <c r="AB50" s="6">
        <v>10</v>
      </c>
      <c r="AC50" s="8" t="s">
        <v>206</v>
      </c>
      <c r="AD50" s="8"/>
      <c r="AE50" s="8"/>
      <c r="AF50" s="8"/>
      <c r="AG50" s="8"/>
      <c r="AH50" s="8"/>
    </row>
    <row r="51" spans="1:39" ht="17" hidden="1" customHeight="1" x14ac:dyDescent="0.2">
      <c r="A51" s="3" t="s">
        <v>237</v>
      </c>
      <c r="B51" s="3" t="s">
        <v>27</v>
      </c>
      <c r="C51" t="s">
        <v>224</v>
      </c>
      <c r="D51" s="5">
        <v>74.844552785261953</v>
      </c>
      <c r="E51" s="3" t="s">
        <v>219</v>
      </c>
      <c r="F51" s="3" t="s">
        <v>220</v>
      </c>
      <c r="G51" s="3" t="s">
        <v>124</v>
      </c>
      <c r="H51" t="s">
        <v>225</v>
      </c>
      <c r="I51" s="3" t="s">
        <v>226</v>
      </c>
      <c r="J51" s="3" t="s">
        <v>223</v>
      </c>
      <c r="K51" s="3" t="s">
        <v>221</v>
      </c>
      <c r="L51" s="3" t="s">
        <v>34</v>
      </c>
      <c r="N51" s="3" t="s">
        <v>35</v>
      </c>
      <c r="O51" s="3" t="s">
        <v>36</v>
      </c>
      <c r="P51" s="3" t="s">
        <v>188</v>
      </c>
      <c r="Q51" s="3" t="s">
        <v>190</v>
      </c>
      <c r="R51" s="6">
        <v>40</v>
      </c>
      <c r="S51" s="7" t="s">
        <v>36</v>
      </c>
      <c r="T51" s="6">
        <v>15</v>
      </c>
      <c r="U51" s="7" t="s">
        <v>36</v>
      </c>
      <c r="V51" s="6">
        <v>10</v>
      </c>
      <c r="W51" s="7" t="s">
        <v>36</v>
      </c>
      <c r="X51" s="6">
        <v>10</v>
      </c>
      <c r="Y51" s="7" t="s">
        <v>36</v>
      </c>
      <c r="Z51" s="6">
        <v>10</v>
      </c>
      <c r="AA51" s="7" t="s">
        <v>36</v>
      </c>
      <c r="AB51" s="6">
        <v>10</v>
      </c>
      <c r="AC51" s="8" t="s">
        <v>206</v>
      </c>
      <c r="AD51" s="8"/>
      <c r="AE51" s="8"/>
      <c r="AF51" s="8"/>
      <c r="AG51" s="8"/>
      <c r="AH51" s="8"/>
    </row>
    <row r="52" spans="1:39" ht="17" hidden="1" customHeight="1" x14ac:dyDescent="0.2">
      <c r="A52" s="3" t="s">
        <v>228</v>
      </c>
      <c r="B52" s="3" t="s">
        <v>27</v>
      </c>
      <c r="C52" t="s">
        <v>227</v>
      </c>
      <c r="D52" s="5">
        <v>95.466916505870074</v>
      </c>
      <c r="E52" s="3" t="s">
        <v>239</v>
      </c>
      <c r="F52" s="3" t="s">
        <v>240</v>
      </c>
      <c r="G52" s="3" t="s">
        <v>118</v>
      </c>
      <c r="H52" t="s">
        <v>230</v>
      </c>
      <c r="I52" s="3" t="s">
        <v>231</v>
      </c>
      <c r="J52" s="3" t="s">
        <v>232</v>
      </c>
      <c r="K52" s="3" t="s">
        <v>229</v>
      </c>
      <c r="L52" s="3" t="s">
        <v>34</v>
      </c>
      <c r="N52" s="3" t="s">
        <v>161</v>
      </c>
      <c r="O52" s="3" t="s">
        <v>36</v>
      </c>
      <c r="P52" s="3" t="s">
        <v>188</v>
      </c>
      <c r="Q52" s="3" t="s">
        <v>190</v>
      </c>
      <c r="R52" s="6">
        <v>60</v>
      </c>
      <c r="S52" s="7" t="s">
        <v>36</v>
      </c>
      <c r="T52" s="6">
        <v>18</v>
      </c>
      <c r="U52" s="7" t="s">
        <v>36</v>
      </c>
      <c r="V52" s="6">
        <v>14</v>
      </c>
      <c r="W52" s="7" t="s">
        <v>36</v>
      </c>
      <c r="X52" s="6">
        <v>12</v>
      </c>
      <c r="Y52" s="7" t="s">
        <v>36</v>
      </c>
      <c r="Z52" s="6">
        <v>12</v>
      </c>
      <c r="AA52" s="7" t="s">
        <v>36</v>
      </c>
      <c r="AB52" s="6">
        <v>15</v>
      </c>
      <c r="AC52" s="8" t="s">
        <v>206</v>
      </c>
      <c r="AD52" s="8"/>
      <c r="AE52" s="8"/>
      <c r="AF52" s="8"/>
      <c r="AG52" s="8"/>
      <c r="AH52" s="8"/>
    </row>
    <row r="53" spans="1:39" ht="17" hidden="1" customHeight="1" x14ac:dyDescent="0.2">
      <c r="A53" s="3" t="s">
        <v>236</v>
      </c>
      <c r="B53" s="3" t="s">
        <v>27</v>
      </c>
      <c r="C53" t="s">
        <v>234</v>
      </c>
      <c r="D53" s="5">
        <v>95.466916505870074</v>
      </c>
      <c r="E53" s="3" t="s">
        <v>239</v>
      </c>
      <c r="F53" s="3" t="s">
        <v>240</v>
      </c>
      <c r="G53" s="3" t="s">
        <v>124</v>
      </c>
      <c r="H53" t="s">
        <v>235</v>
      </c>
      <c r="I53" s="3" t="s">
        <v>231</v>
      </c>
      <c r="J53" s="3" t="s">
        <v>232</v>
      </c>
      <c r="K53" s="3" t="s">
        <v>229</v>
      </c>
      <c r="L53" s="3" t="s">
        <v>34</v>
      </c>
      <c r="N53" s="3" t="s">
        <v>174</v>
      </c>
      <c r="O53" s="3" t="s">
        <v>36</v>
      </c>
      <c r="P53" s="3" t="s">
        <v>188</v>
      </c>
      <c r="Q53" s="3" t="s">
        <v>190</v>
      </c>
      <c r="R53" s="6">
        <v>45</v>
      </c>
      <c r="S53" s="7" t="s">
        <v>36</v>
      </c>
      <c r="T53" s="6">
        <v>12</v>
      </c>
      <c r="U53" s="7" t="s">
        <v>36</v>
      </c>
      <c r="V53" s="6">
        <v>10</v>
      </c>
      <c r="W53" s="7" t="s">
        <v>36</v>
      </c>
      <c r="X53" s="6">
        <v>10</v>
      </c>
      <c r="Y53" s="7" t="s">
        <v>36</v>
      </c>
      <c r="Z53" s="6">
        <v>12</v>
      </c>
      <c r="AA53" s="7" t="s">
        <v>36</v>
      </c>
      <c r="AB53" s="6">
        <v>10</v>
      </c>
      <c r="AC53" s="8" t="s">
        <v>206</v>
      </c>
      <c r="AD53" s="8"/>
      <c r="AE53" s="8"/>
      <c r="AF53" s="8"/>
      <c r="AG53" s="8"/>
      <c r="AH53" s="8"/>
    </row>
    <row r="54" spans="1:39" ht="17" hidden="1" customHeight="1" x14ac:dyDescent="0.2">
      <c r="A54" s="3" t="s">
        <v>236</v>
      </c>
      <c r="B54" s="3" t="s">
        <v>27</v>
      </c>
      <c r="C54" t="s">
        <v>238</v>
      </c>
      <c r="D54" s="5">
        <v>95.466916505870074</v>
      </c>
      <c r="E54" s="3" t="s">
        <v>239</v>
      </c>
      <c r="F54" s="3" t="s">
        <v>240</v>
      </c>
      <c r="G54" s="3" t="s">
        <v>124</v>
      </c>
      <c r="H54" t="s">
        <v>241</v>
      </c>
      <c r="I54" s="3" t="s">
        <v>242</v>
      </c>
      <c r="J54" s="3" t="s">
        <v>232</v>
      </c>
      <c r="K54" s="3" t="s">
        <v>229</v>
      </c>
      <c r="L54" s="3" t="s">
        <v>34</v>
      </c>
      <c r="N54" s="3" t="s">
        <v>174</v>
      </c>
      <c r="O54" s="3" t="s">
        <v>36</v>
      </c>
      <c r="P54" s="3" t="s">
        <v>188</v>
      </c>
      <c r="Q54" s="3" t="s">
        <v>190</v>
      </c>
      <c r="R54" s="6">
        <v>42</v>
      </c>
      <c r="S54" s="7" t="s">
        <v>36</v>
      </c>
      <c r="T54" s="6">
        <v>10</v>
      </c>
      <c r="U54" s="7" t="s">
        <v>36</v>
      </c>
      <c r="V54" s="6">
        <v>10</v>
      </c>
      <c r="W54" s="7" t="s">
        <v>36</v>
      </c>
      <c r="X54" s="6">
        <v>10</v>
      </c>
      <c r="Y54" s="7" t="s">
        <v>36</v>
      </c>
      <c r="Z54" s="6">
        <v>12</v>
      </c>
      <c r="AA54" s="7" t="s">
        <v>36</v>
      </c>
      <c r="AB54" s="6">
        <v>10</v>
      </c>
      <c r="AC54" s="8" t="s">
        <v>206</v>
      </c>
      <c r="AD54" s="8"/>
      <c r="AE54" s="8"/>
      <c r="AF54" s="8"/>
      <c r="AG54" s="8"/>
      <c r="AH54" s="8"/>
    </row>
    <row r="55" spans="1:39" ht="17" hidden="1" customHeight="1" x14ac:dyDescent="0.2">
      <c r="B55" s="2" t="s">
        <v>233</v>
      </c>
      <c r="C55" s="11"/>
      <c r="D55" s="11"/>
      <c r="G55" s="3"/>
    </row>
    <row r="57" spans="1:39" ht="17" customHeight="1" x14ac:dyDescent="0.2">
      <c r="AG57" s="1" t="s">
        <v>251</v>
      </c>
      <c r="AH57" s="1" t="s">
        <v>257</v>
      </c>
      <c r="AI57" s="1" t="s">
        <v>14</v>
      </c>
      <c r="AJ57" s="1" t="s">
        <v>15</v>
      </c>
    </row>
    <row r="58" spans="1:39" ht="17" customHeight="1" x14ac:dyDescent="0.2">
      <c r="AG58" s="12" t="s">
        <v>252</v>
      </c>
      <c r="AH58" s="13" t="s">
        <v>258</v>
      </c>
      <c r="AI58" s="12" t="s">
        <v>185</v>
      </c>
      <c r="AJ58" s="12" t="s">
        <v>188</v>
      </c>
    </row>
    <row r="59" spans="1:39" ht="17" customHeight="1" x14ac:dyDescent="0.2">
      <c r="AG59" s="3" t="s">
        <v>253</v>
      </c>
      <c r="AH59" t="s">
        <v>259</v>
      </c>
      <c r="AI59" s="3" t="s">
        <v>272</v>
      </c>
      <c r="AJ59" s="3" t="s">
        <v>266</v>
      </c>
      <c r="AM59" s="8"/>
    </row>
    <row r="60" spans="1:39" ht="17" customHeight="1" x14ac:dyDescent="0.2">
      <c r="AG60" s="3" t="s">
        <v>254</v>
      </c>
      <c r="AH60" t="s">
        <v>260</v>
      </c>
      <c r="AI60" s="3" t="s">
        <v>187</v>
      </c>
      <c r="AJ60" s="3" t="s">
        <v>269</v>
      </c>
      <c r="AM60" s="8"/>
    </row>
    <row r="61" spans="1:39" ht="17" customHeight="1" x14ac:dyDescent="0.2">
      <c r="AE61" s="3"/>
      <c r="AG61" s="3" t="s">
        <v>255</v>
      </c>
      <c r="AH61" t="s">
        <v>261</v>
      </c>
      <c r="AI61" s="3" t="s">
        <v>274</v>
      </c>
      <c r="AJ61" s="3" t="s">
        <v>270</v>
      </c>
    </row>
    <row r="62" spans="1:39" ht="17" customHeight="1" x14ac:dyDescent="0.2">
      <c r="AG62" s="3" t="s">
        <v>256</v>
      </c>
      <c r="AH62" t="s">
        <v>262</v>
      </c>
      <c r="AI62" s="3" t="s">
        <v>268</v>
      </c>
      <c r="AJ62" s="3" t="s">
        <v>184</v>
      </c>
    </row>
  </sheetData>
  <autoFilter ref="A1:AA55" xr:uid="{A21A5BE7-7AB7-E348-8D96-1F0445CCAA25}">
    <filterColumn colId="15">
      <filters>
        <filter val="2021-06-10 13:00:00.000000"/>
        <filter val="2021-06-10 13:30:00.000000"/>
        <filter val="2021-06-10 14:00:00.000000"/>
      </filters>
    </filterColumn>
    <sortState xmlns:xlrd2="http://schemas.microsoft.com/office/spreadsheetml/2017/richdata2" ref="A2:AA55">
      <sortCondition ref="D1:D55"/>
    </sortState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DE70001-8473-9F40-8FE6-03A5C56F794C}">
          <x14:formula1>
            <xm:f>'Host Variablen'!$D$2:$D$7</xm:f>
          </x14:formula1>
          <xm:sqref>N2:N54</xm:sqref>
        </x14:dataValidation>
        <x14:dataValidation type="list" allowBlank="1" showInputMessage="1" showErrorMessage="1" xr:uid="{EAAF1414-0FA3-EE4C-A674-B44F17C12F33}">
          <x14:formula1>
            <xm:f>'Host Variablen'!$B$2:$B$3</xm:f>
          </x14:formula1>
          <xm:sqref>O2:O54 Y2:Y46 S2:S46 U2:U46 W2:W46 AA2:AA46</xm:sqref>
        </x14:dataValidation>
        <x14:dataValidation type="list" allowBlank="1" showInputMessage="1" showErrorMessage="1" xr:uid="{1FB808A4-972F-2747-84BD-115BF23096C4}">
          <x14:formula1>
            <xm:f>'Host Variablen'!$A$2:$A$5</xm:f>
          </x14:formula1>
          <xm:sqref>B2:B46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B805-1AD4-BB43-8B8C-C6EF1457C10A}">
  <sheetPr codeName="Sheet14" filterMode="1"/>
  <dimension ref="A1:AU62"/>
  <sheetViews>
    <sheetView workbookViewId="0">
      <selection activeCell="A2" sqref="A2:D45"/>
    </sheetView>
  </sheetViews>
  <sheetFormatPr baseColWidth="10" defaultColWidth="11.5" defaultRowHeight="17" customHeight="1" x14ac:dyDescent="0.2"/>
  <cols>
    <col min="1" max="1" width="8.6640625" bestFit="1" customWidth="1"/>
    <col min="2" max="2" width="29.5" bestFit="1" customWidth="1"/>
    <col min="3" max="4" width="29.5" style="5" customWidth="1"/>
    <col min="5" max="5" width="10.6640625" hidden="1" customWidth="1"/>
    <col min="6" max="6" width="11.5" hidden="1" customWidth="1"/>
    <col min="7" max="7" width="14" hidden="1" customWidth="1"/>
    <col min="8" max="8" width="17.1640625" hidden="1" customWidth="1"/>
    <col min="9" max="9" width="10.6640625" hidden="1" customWidth="1"/>
    <col min="10" max="10" width="6" hidden="1" customWidth="1"/>
    <col min="11" max="11" width="8.33203125" hidden="1" customWidth="1"/>
    <col min="12" max="12" width="10" hidden="1" customWidth="1"/>
    <col min="13" max="13" width="11.83203125" hidden="1" customWidth="1"/>
    <col min="14" max="14" width="15" hidden="1" customWidth="1"/>
    <col min="15" max="15" width="20.6640625" hidden="1" customWidth="1"/>
    <col min="16" max="17" width="24.33203125" bestFit="1" customWidth="1"/>
    <col min="18" max="18" width="17.33203125" style="4" hidden="1" customWidth="1"/>
    <col min="19" max="19" width="12.83203125" hidden="1" customWidth="1"/>
    <col min="20" max="20" width="8.1640625" style="4" hidden="1" customWidth="1"/>
    <col min="21" max="21" width="13.33203125" hidden="1" customWidth="1"/>
    <col min="22" max="22" width="12.5" style="4" hidden="1" customWidth="1"/>
    <col min="23" max="23" width="15.5" hidden="1" customWidth="1"/>
    <col min="24" max="24" width="14.6640625" style="4" hidden="1" customWidth="1"/>
    <col min="25" max="25" width="4.6640625" hidden="1" customWidth="1"/>
    <col min="26" max="26" width="8.6640625" style="4" hidden="1" customWidth="1"/>
    <col min="27" max="27" width="4.5" hidden="1" customWidth="1"/>
    <col min="28" max="28" width="7.83203125" style="4" hidden="1" customWidth="1"/>
    <col min="29" max="29" width="211" hidden="1" customWidth="1"/>
    <col min="30" max="30" width="0" hidden="1" customWidth="1"/>
    <col min="31" max="31" width="6.33203125" bestFit="1" customWidth="1"/>
    <col min="32" max="32" width="8.33203125" bestFit="1" customWidth="1"/>
    <col min="33" max="33" width="9.1640625" bestFit="1" customWidth="1"/>
    <col min="34" max="34" width="14.33203125" bestFit="1" customWidth="1"/>
    <col min="35" max="35" width="11.1640625" bestFit="1" customWidth="1"/>
    <col min="36" max="36" width="14.33203125" bestFit="1" customWidth="1"/>
    <col min="37" max="38" width="24.33203125" bestFit="1" customWidth="1"/>
    <col min="41" max="42" width="13.5" bestFit="1" customWidth="1"/>
  </cols>
  <sheetData>
    <row r="1" spans="1:33" ht="17" customHeight="1" x14ac:dyDescent="0.2">
      <c r="A1" s="1" t="s">
        <v>0</v>
      </c>
      <c r="B1" s="1" t="s">
        <v>2</v>
      </c>
      <c r="C1" s="10"/>
      <c r="D1" s="10" t="s">
        <v>275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33" ht="17" customHeight="1" x14ac:dyDescent="0.2">
      <c r="A2" s="3" t="s">
        <v>244</v>
      </c>
      <c r="B2" s="3" t="s">
        <v>27</v>
      </c>
      <c r="C2" s="3" t="s">
        <v>115</v>
      </c>
      <c r="D2" s="5">
        <v>6.9398533335912449E-2</v>
      </c>
      <c r="E2" s="3" t="s">
        <v>117</v>
      </c>
      <c r="F2" s="3" t="s">
        <v>116</v>
      </c>
      <c r="G2" s="3" t="s">
        <v>118</v>
      </c>
      <c r="H2" s="3" t="s">
        <v>119</v>
      </c>
      <c r="I2" s="3">
        <v>12</v>
      </c>
      <c r="J2" s="3">
        <v>8001</v>
      </c>
      <c r="K2" s="3" t="s">
        <v>33</v>
      </c>
      <c r="L2" s="3" t="s">
        <v>34</v>
      </c>
      <c r="M2" s="3"/>
      <c r="N2" s="3" t="s">
        <v>35</v>
      </c>
      <c r="O2" s="3" t="s">
        <v>36</v>
      </c>
      <c r="P2" s="3" t="s">
        <v>272</v>
      </c>
      <c r="Q2" s="3" t="s">
        <v>273</v>
      </c>
      <c r="R2" s="4">
        <v>30</v>
      </c>
      <c r="S2" s="3" t="s">
        <v>36</v>
      </c>
      <c r="T2" s="4">
        <v>12</v>
      </c>
      <c r="U2" s="3" t="s">
        <v>36</v>
      </c>
      <c r="V2" s="4">
        <v>15</v>
      </c>
      <c r="W2" s="3" t="s">
        <v>36</v>
      </c>
      <c r="X2" s="4">
        <v>8</v>
      </c>
      <c r="Y2" s="3" t="s">
        <v>36</v>
      </c>
      <c r="Z2" s="4">
        <v>10</v>
      </c>
      <c r="AA2" s="3" t="s">
        <v>36</v>
      </c>
      <c r="AB2" s="4">
        <v>10</v>
      </c>
      <c r="AC2" t="str">
        <f>_xlfn.TEXTJOIN(",",,"INSERT INTO assetList VALUES (",A2,B2,C2,F2,E2,G2,H2,I2,J2,K2,L2,N2,P2,Q2,R2,S2,T2,U2,V2,W2,X2,Y2,Z2,AA2,AB2,")")</f>
        <v>INSERT INTO assetList VALUES (,100022.1,Hotel,Hotel Savoy Baur en Ville,8.53961,47.36997,5*,Poststrasse,12,8001,Zürich,Switzerland,SingleStandard,2021-06-11 14:00:00.000000,2021-06-12 17:00:00.000000,30,true,12,true,15,true,8,true,10,true,10,)</v>
      </c>
      <c r="AG2" s="2"/>
    </row>
    <row r="3" spans="1:33" ht="17" customHeight="1" x14ac:dyDescent="0.2">
      <c r="A3" s="3" t="s">
        <v>245</v>
      </c>
      <c r="B3" s="3" t="s">
        <v>27</v>
      </c>
      <c r="C3" s="3" t="s">
        <v>115</v>
      </c>
      <c r="D3" s="5">
        <v>6.9398533335912449E-2</v>
      </c>
      <c r="E3" s="3" t="s">
        <v>117</v>
      </c>
      <c r="F3" s="3" t="s">
        <v>116</v>
      </c>
      <c r="G3" s="3" t="s">
        <v>118</v>
      </c>
      <c r="H3" s="3" t="s">
        <v>119</v>
      </c>
      <c r="I3" s="3">
        <v>12</v>
      </c>
      <c r="J3" s="3">
        <v>8001</v>
      </c>
      <c r="K3" s="3" t="s">
        <v>33</v>
      </c>
      <c r="L3" s="3" t="s">
        <v>34</v>
      </c>
      <c r="M3" s="3"/>
      <c r="N3" s="3" t="s">
        <v>35</v>
      </c>
      <c r="O3" s="3" t="s">
        <v>36</v>
      </c>
      <c r="P3" s="3" t="s">
        <v>272</v>
      </c>
      <c r="Q3" s="3" t="s">
        <v>273</v>
      </c>
      <c r="R3" s="4">
        <v>31</v>
      </c>
      <c r="S3" s="3" t="s">
        <v>36</v>
      </c>
      <c r="T3" s="4">
        <v>12</v>
      </c>
      <c r="U3" s="3" t="s">
        <v>36</v>
      </c>
      <c r="V3" s="4">
        <v>15</v>
      </c>
      <c r="W3" s="3" t="s">
        <v>36</v>
      </c>
      <c r="X3" s="4">
        <v>8</v>
      </c>
      <c r="Y3" s="3" t="s">
        <v>36</v>
      </c>
      <c r="Z3" s="4">
        <v>10</v>
      </c>
      <c r="AA3" s="3" t="s">
        <v>36</v>
      </c>
      <c r="AB3" s="4">
        <v>10</v>
      </c>
      <c r="AC3" t="str">
        <f>_xlfn.TEXTJOIN(",",,"INSERT INTO assetList VALUES (",A3,B3,C3,F3,E3,G3,H3,I3,J3,K3,L3,N3,P3,Q3,R3,S3,T3,U3,V3,W3,X3,Y3,Z3,AA3,AB3,")")</f>
        <v>INSERT INTO assetList VALUES (,100022.2,Hotel,Hotel Savoy Baur en Ville,8.53961,47.36997,5*,Poststrasse,12,8001,Zürich,Switzerland,SingleStandard,2021-06-11 14:00:00.000000,2021-06-12 17:00:00.000000,31,true,12,true,15,true,8,true,10,true,10,)</v>
      </c>
      <c r="AG3" s="2"/>
    </row>
    <row r="4" spans="1:33" ht="17" customHeight="1" x14ac:dyDescent="0.2">
      <c r="A4" s="3" t="s">
        <v>246</v>
      </c>
      <c r="B4" s="3" t="s">
        <v>27</v>
      </c>
      <c r="C4" s="3" t="s">
        <v>115</v>
      </c>
      <c r="D4" s="5">
        <v>6.9398533335912449E-2</v>
      </c>
      <c r="E4" s="3" t="s">
        <v>117</v>
      </c>
      <c r="F4" s="3" t="s">
        <v>116</v>
      </c>
      <c r="G4" s="3" t="s">
        <v>118</v>
      </c>
      <c r="H4" s="3" t="s">
        <v>119</v>
      </c>
      <c r="I4" s="3">
        <v>12</v>
      </c>
      <c r="J4" s="3">
        <v>8001</v>
      </c>
      <c r="K4" s="3" t="s">
        <v>33</v>
      </c>
      <c r="L4" s="3" t="s">
        <v>34</v>
      </c>
      <c r="M4" s="3"/>
      <c r="N4" s="3" t="s">
        <v>177</v>
      </c>
      <c r="O4" s="3" t="s">
        <v>36</v>
      </c>
      <c r="P4" s="3" t="s">
        <v>272</v>
      </c>
      <c r="Q4" s="3" t="s">
        <v>273</v>
      </c>
      <c r="R4" s="4">
        <v>33</v>
      </c>
      <c r="S4" s="3" t="s">
        <v>36</v>
      </c>
      <c r="T4" s="4">
        <v>15</v>
      </c>
      <c r="U4" s="3" t="s">
        <v>36</v>
      </c>
      <c r="V4" s="4">
        <v>17</v>
      </c>
      <c r="W4" s="3" t="s">
        <v>37</v>
      </c>
      <c r="X4" s="4">
        <v>8</v>
      </c>
      <c r="Y4" s="3" t="s">
        <v>36</v>
      </c>
      <c r="Z4" s="4">
        <v>10</v>
      </c>
      <c r="AA4" s="3" t="s">
        <v>36</v>
      </c>
      <c r="AB4" s="4">
        <v>10</v>
      </c>
      <c r="AC4" t="str">
        <f>_xlfn.TEXTJOIN(",",,"INSERT INTO assetList VALUES (",A4,B4,C4,F4,E4,G4,H4,I4,J4,K4,L4,N4,P4,Q4,R4,S4,T4,U4,V4,W4,X4,Y4,Z4,AA4,AB4,")")</f>
        <v>INSERT INTO assetList VALUES (,100022.3,Hotel,Hotel Savoy Baur en Ville,8.53961,47.36997,5*,Poststrasse,12,8001,Zürich,Switzerland,"DoubleStandard",2021-06-11 14:00:00.000000,2021-06-12 17:00:00.000000,33,true,15,true,17,false,8,true,10,true,10,)</v>
      </c>
      <c r="AG4" s="2"/>
    </row>
    <row r="5" spans="1:33" ht="17" customHeight="1" x14ac:dyDescent="0.2">
      <c r="A5" s="3" t="s">
        <v>247</v>
      </c>
      <c r="B5" s="3" t="s">
        <v>27</v>
      </c>
      <c r="C5" s="3" t="s">
        <v>115</v>
      </c>
      <c r="D5" s="5">
        <v>6.9398533335912449E-2</v>
      </c>
      <c r="E5" s="3" t="s">
        <v>117</v>
      </c>
      <c r="F5" s="3" t="s">
        <v>116</v>
      </c>
      <c r="G5" s="3" t="s">
        <v>118</v>
      </c>
      <c r="H5" s="3" t="s">
        <v>119</v>
      </c>
      <c r="I5" s="3">
        <v>12</v>
      </c>
      <c r="J5" s="3">
        <v>8001</v>
      </c>
      <c r="K5" s="3" t="s">
        <v>33</v>
      </c>
      <c r="L5" s="3" t="s">
        <v>34</v>
      </c>
      <c r="M5" s="3"/>
      <c r="N5" s="3" t="s">
        <v>182</v>
      </c>
      <c r="O5" s="3" t="s">
        <v>36</v>
      </c>
      <c r="P5" s="3" t="s">
        <v>272</v>
      </c>
      <c r="Q5" s="3" t="s">
        <v>273</v>
      </c>
      <c r="R5" s="4">
        <v>35</v>
      </c>
      <c r="S5" s="3" t="s">
        <v>36</v>
      </c>
      <c r="T5" s="4">
        <v>17</v>
      </c>
      <c r="U5" s="3" t="s">
        <v>36</v>
      </c>
      <c r="V5" s="4">
        <v>17</v>
      </c>
      <c r="W5" s="3" t="s">
        <v>37</v>
      </c>
      <c r="X5" s="4">
        <v>8</v>
      </c>
      <c r="Y5" s="3" t="s">
        <v>36</v>
      </c>
      <c r="Z5" s="4">
        <v>10</v>
      </c>
      <c r="AA5" s="3" t="s">
        <v>36</v>
      </c>
      <c r="AB5" s="4">
        <v>10</v>
      </c>
      <c r="AC5" t="str">
        <f>_xlfn.TEXTJOIN(",",,"INSERT INTO assetList VALUES (",A5,B5,C5,F5,E5,G5,H5,I5,J5,K5,L5,N5,P5,Q5,R5,S5,T5,U5,V5,W5,X5,Y5,Z5,AA5,AB5,")")</f>
        <v>INSERT INTO assetList VALUES (,100022.4,Hotel,Hotel Savoy Baur en Ville,8.53961,47.36997,5*,Poststrasse,12,8001,Zürich,Switzerland,"DoubleBusiness",2021-06-11 14:00:00.000000,2021-06-12 17:00:00.000000,35,true,17,true,17,false,8,true,10,true,10,)</v>
      </c>
    </row>
    <row r="6" spans="1:33" ht="17" hidden="1" customHeight="1" x14ac:dyDescent="0.2">
      <c r="A6" s="3">
        <v>100024</v>
      </c>
      <c r="B6" s="3" t="s">
        <v>27</v>
      </c>
      <c r="C6" s="3" t="s">
        <v>126</v>
      </c>
      <c r="D6" s="5">
        <v>0.19023772811228043</v>
      </c>
      <c r="E6" s="3" t="s">
        <v>128</v>
      </c>
      <c r="F6" s="3" t="s">
        <v>127</v>
      </c>
      <c r="G6" s="3" t="s">
        <v>124</v>
      </c>
      <c r="H6" s="3" t="s">
        <v>129</v>
      </c>
      <c r="I6" s="3">
        <v>10</v>
      </c>
      <c r="J6" s="3">
        <v>8001</v>
      </c>
      <c r="K6" s="3" t="s">
        <v>33</v>
      </c>
      <c r="L6" s="3" t="s">
        <v>34</v>
      </c>
      <c r="M6" s="3"/>
      <c r="N6" s="3" t="s">
        <v>35</v>
      </c>
      <c r="O6" s="3" t="s">
        <v>36</v>
      </c>
      <c r="P6" s="3" t="s">
        <v>187</v>
      </c>
      <c r="Q6" s="3" t="s">
        <v>190</v>
      </c>
      <c r="R6" s="4">
        <v>30</v>
      </c>
      <c r="S6" s="3" t="s">
        <v>36</v>
      </c>
      <c r="T6" s="4">
        <v>15</v>
      </c>
      <c r="U6" s="3" t="s">
        <v>36</v>
      </c>
      <c r="V6" s="4">
        <v>15</v>
      </c>
      <c r="W6" s="3" t="s">
        <v>37</v>
      </c>
      <c r="X6" s="4">
        <v>8</v>
      </c>
      <c r="Y6" s="3" t="s">
        <v>36</v>
      </c>
      <c r="Z6" s="4">
        <v>10</v>
      </c>
      <c r="AA6" s="3" t="s">
        <v>36</v>
      </c>
      <c r="AB6" s="4">
        <v>10</v>
      </c>
      <c r="AC6" t="str">
        <f>_xlfn.TEXTJOIN(",",,"INSERT INTO assetList VALUES (",A6,B6,C6,F6,E6,G6,H6,I6,J6,K6,L6,N6,P6,Q6,R6,S6,T6,U6,V6,W6,X6,Y6,Z6,AA6,AB6,")")</f>
        <v>INSERT INTO assetList VALUES (,100024,Hotel,Hotel Sorell St. Peter,8.54066,47.3708,4*,In Gassen,10,8001,Zürich,Switzerland,SingleStandard,2021-06-10 15:00:00.000000,2021-08-19 15:00:00.000000,30,true,15,true,15,false,8,true,10,true,10,)</v>
      </c>
    </row>
    <row r="7" spans="1:33" ht="17" hidden="1" customHeight="1" x14ac:dyDescent="0.2">
      <c r="A7" s="3">
        <v>100027</v>
      </c>
      <c r="B7" s="3" t="s">
        <v>27</v>
      </c>
      <c r="C7" s="3" t="s">
        <v>136</v>
      </c>
      <c r="D7" s="5">
        <v>0.32475277221931187</v>
      </c>
      <c r="E7" s="3" t="s">
        <v>138</v>
      </c>
      <c r="F7" s="3" t="s">
        <v>137</v>
      </c>
      <c r="G7" s="3" t="s">
        <v>118</v>
      </c>
      <c r="H7" s="3" t="s">
        <v>139</v>
      </c>
      <c r="I7" s="3">
        <v>2</v>
      </c>
      <c r="J7" s="3">
        <v>8001</v>
      </c>
      <c r="K7" s="3" t="s">
        <v>33</v>
      </c>
      <c r="L7" s="3" t="s">
        <v>34</v>
      </c>
      <c r="M7" s="3"/>
      <c r="N7" s="3" t="s">
        <v>53</v>
      </c>
      <c r="O7" s="3" t="s">
        <v>36</v>
      </c>
      <c r="P7" s="3" t="s">
        <v>187</v>
      </c>
      <c r="Q7" s="3" t="s">
        <v>190</v>
      </c>
      <c r="R7" s="4">
        <v>32</v>
      </c>
      <c r="S7" s="3" t="s">
        <v>36</v>
      </c>
      <c r="T7" s="4">
        <v>15</v>
      </c>
      <c r="U7" s="3" t="s">
        <v>36</v>
      </c>
      <c r="V7" s="4">
        <v>15</v>
      </c>
      <c r="W7" s="3" t="s">
        <v>37</v>
      </c>
      <c r="X7" s="4">
        <v>8</v>
      </c>
      <c r="Y7" s="3" t="s">
        <v>36</v>
      </c>
      <c r="Z7" s="4">
        <v>10</v>
      </c>
      <c r="AA7" s="3" t="s">
        <v>36</v>
      </c>
      <c r="AB7" s="4">
        <v>10</v>
      </c>
      <c r="AC7" t="str">
        <f>_xlfn.TEXTJOIN(",",,"INSERT INTO assetList VALUES (",A7,B7,C7,F7,E7,G7,H7,I7,J7,K7,L7,N7,P7,Q7,R7,S7,T7,U7,V7,W7,X7,Y7,Z7,AA7,AB7,")")</f>
        <v>INSERT INTO assetList VALUES (,100027,Hotel,Hotel Storchen,8.54169,47.3718,5*,Weinplatz,2,8001,Zürich,Switzerland,DoubleStandard,2021-06-10 15:00:00.000000,2021-08-19 15:00:00.000000,32,true,15,true,15,false,8,true,10,true,10,)</v>
      </c>
    </row>
    <row r="8" spans="1:33" ht="17" hidden="1" customHeight="1" x14ac:dyDescent="0.2">
      <c r="A8" s="3">
        <v>100032</v>
      </c>
      <c r="B8" s="3" t="s">
        <v>27</v>
      </c>
      <c r="C8" s="3" t="s">
        <v>154</v>
      </c>
      <c r="D8" s="5">
        <v>0.3364875971128915</v>
      </c>
      <c r="E8" s="3" t="s">
        <v>156</v>
      </c>
      <c r="F8" s="3" t="s">
        <v>155</v>
      </c>
      <c r="G8" s="3" t="s">
        <v>118</v>
      </c>
      <c r="H8" s="3" t="s">
        <v>157</v>
      </c>
      <c r="I8" s="3">
        <v>7</v>
      </c>
      <c r="J8" s="3">
        <v>8001</v>
      </c>
      <c r="K8" s="3" t="s">
        <v>33</v>
      </c>
      <c r="L8" s="3" t="s">
        <v>34</v>
      </c>
      <c r="M8" s="3"/>
      <c r="N8" s="3" t="s">
        <v>143</v>
      </c>
      <c r="O8" s="3" t="s">
        <v>36</v>
      </c>
      <c r="P8" s="3" t="s">
        <v>188</v>
      </c>
      <c r="Q8" s="3" t="s">
        <v>190</v>
      </c>
      <c r="R8" s="4">
        <v>36</v>
      </c>
      <c r="S8" s="3" t="s">
        <v>36</v>
      </c>
      <c r="T8" s="4">
        <v>15</v>
      </c>
      <c r="U8" s="3" t="s">
        <v>36</v>
      </c>
      <c r="V8" s="4">
        <v>15</v>
      </c>
      <c r="W8" s="3" t="s">
        <v>37</v>
      </c>
      <c r="X8" s="4">
        <v>8</v>
      </c>
      <c r="Y8" s="3" t="s">
        <v>36</v>
      </c>
      <c r="Z8" s="4">
        <v>10</v>
      </c>
      <c r="AA8" s="3" t="s">
        <v>36</v>
      </c>
      <c r="AB8" s="4">
        <v>10</v>
      </c>
      <c r="AC8" t="str">
        <f>_xlfn.TEXTJOIN(",",,"INSERT INTO assetList VALUES (",A8,B8,C8,F8,E8,G8,H8,I8,J8,K8,L8,N8,P8,Q8,R8,S8,T8,U8,V8,W8,X8,Y8,Z8,AA8,AB8,")")</f>
        <v>INSERT INTO assetList VALUES (,100032,Hotel,Hotel Widder,8.53986,47.37253,5*,Rennweg,7,8001,Zürich,Switzerland,DoubleSuperior,2021-06-10 16:00:00.000000,2021-08-19 15:00:00.000000,36,true,15,true,15,false,8,true,10,true,10,)</v>
      </c>
    </row>
    <row r="9" spans="1:33" ht="17" hidden="1" customHeight="1" x14ac:dyDescent="0.2">
      <c r="A9" s="3">
        <v>100007</v>
      </c>
      <c r="B9" s="3" t="s">
        <v>27</v>
      </c>
      <c r="C9" s="3" t="s">
        <v>58</v>
      </c>
      <c r="D9" s="5">
        <v>0.34601422130198034</v>
      </c>
      <c r="E9" s="3" t="s">
        <v>60</v>
      </c>
      <c r="F9" s="3" t="s">
        <v>59</v>
      </c>
      <c r="G9" s="3" t="s">
        <v>31</v>
      </c>
      <c r="H9" s="3" t="s">
        <v>61</v>
      </c>
      <c r="I9" s="3">
        <v>1</v>
      </c>
      <c r="J9" s="3">
        <v>8001</v>
      </c>
      <c r="K9" s="3" t="s">
        <v>33</v>
      </c>
      <c r="L9" s="3" t="s">
        <v>34</v>
      </c>
      <c r="M9" s="3"/>
      <c r="N9" s="3" t="s">
        <v>53</v>
      </c>
      <c r="O9" s="3" t="s">
        <v>36</v>
      </c>
      <c r="P9" s="3" t="s">
        <v>184</v>
      </c>
      <c r="Q9" s="3" t="s">
        <v>189</v>
      </c>
      <c r="R9" s="4">
        <v>23</v>
      </c>
      <c r="S9" s="3" t="s">
        <v>36</v>
      </c>
      <c r="T9" s="4">
        <v>10</v>
      </c>
      <c r="U9" s="3" t="s">
        <v>36</v>
      </c>
      <c r="V9" s="4">
        <v>10</v>
      </c>
      <c r="W9" s="3" t="s">
        <v>37</v>
      </c>
      <c r="X9" s="4">
        <v>5</v>
      </c>
      <c r="Y9" s="3" t="s">
        <v>37</v>
      </c>
      <c r="Z9" s="4">
        <v>10</v>
      </c>
      <c r="AA9" s="3" t="s">
        <v>37</v>
      </c>
      <c r="AB9" s="4">
        <v>10</v>
      </c>
      <c r="AC9" t="str">
        <f>_xlfn.TEXTJOIN(",",,"INSERT INTO assetList VALUES (",A9,B9,C9,F9,E9,G9,H9,I9,J9,K9,L9,N9,P9,Q9,R9,S9,T9,U9,V9,W9,X9,Y9,Z9,AA9,AB9,")")</f>
        <v>INSERT INTO assetList VALUES (,100007,Hotel,Hotel Kindli,8.54069,47.37244,3*,Pfalzgasse,1,8001,Zürich,Switzerland,DoubleStandard,2021-06-10 13:30:00.000000,2021-06-11 12:00:00.000000,23,true,10,true,10,false,5,false,10,false,10,)</v>
      </c>
    </row>
    <row r="10" spans="1:33" ht="17" hidden="1" customHeight="1" x14ac:dyDescent="0.2">
      <c r="A10" s="3">
        <v>100030</v>
      </c>
      <c r="B10" s="3" t="s">
        <v>27</v>
      </c>
      <c r="C10" s="3" t="s">
        <v>147</v>
      </c>
      <c r="D10" s="5">
        <v>0.39186334284636171</v>
      </c>
      <c r="E10" s="3" t="s">
        <v>149</v>
      </c>
      <c r="F10" s="3" t="s">
        <v>148</v>
      </c>
      <c r="G10" s="3" t="s">
        <v>124</v>
      </c>
      <c r="H10" s="3" t="s">
        <v>102</v>
      </c>
      <c r="I10" s="3">
        <v>30</v>
      </c>
      <c r="J10" s="3">
        <v>8001</v>
      </c>
      <c r="K10" s="3" t="s">
        <v>33</v>
      </c>
      <c r="L10" s="3" t="s">
        <v>34</v>
      </c>
      <c r="M10" s="3"/>
      <c r="N10" s="3" t="s">
        <v>103</v>
      </c>
      <c r="O10" s="3" t="s">
        <v>36</v>
      </c>
      <c r="P10" s="3" t="s">
        <v>188</v>
      </c>
      <c r="Q10" s="3" t="s">
        <v>190</v>
      </c>
      <c r="R10" s="4">
        <v>36</v>
      </c>
      <c r="S10" s="3" t="s">
        <v>36</v>
      </c>
      <c r="T10" s="4">
        <v>15</v>
      </c>
      <c r="U10" s="3" t="s">
        <v>36</v>
      </c>
      <c r="V10" s="4">
        <v>15</v>
      </c>
      <c r="W10" s="3" t="s">
        <v>37</v>
      </c>
      <c r="X10" s="4">
        <v>8</v>
      </c>
      <c r="Y10" s="3" t="s">
        <v>36</v>
      </c>
      <c r="Z10" s="4">
        <v>10</v>
      </c>
      <c r="AA10" s="3" t="s">
        <v>36</v>
      </c>
      <c r="AB10" s="4">
        <v>10</v>
      </c>
      <c r="AC10" t="str">
        <f>_xlfn.TEXTJOIN(",",,"INSERT INTO assetList VALUES (",A10,B10,C10,F10,E10,G10,H10,I10,J10,K10,L10,N10,P10,Q10,R10,S10,T10,U10,V10,W10,X10,Y10,Z10,AA10,AB10,")")</f>
        <v>INSERT INTO assetList VALUES (,100030,Hotel,Hotel Helmhaus,8.54406,47.36914,4*,Schifflände,30,8001,Zürich,Switzerland,DoubleBusiness,2021-06-10 16:00:00.000000,2021-08-19 15:00:00.000000,36,true,15,true,15,false,8,true,10,true,10,)</v>
      </c>
    </row>
    <row r="11" spans="1:33" ht="17" hidden="1" customHeight="1" x14ac:dyDescent="0.2">
      <c r="A11" s="3" t="s">
        <v>191</v>
      </c>
      <c r="B11" s="3" t="s">
        <v>27</v>
      </c>
      <c r="C11" s="3" t="s">
        <v>28</v>
      </c>
      <c r="D11" s="5">
        <v>0.39335769619835681</v>
      </c>
      <c r="E11" s="3" t="s">
        <v>30</v>
      </c>
      <c r="F11" s="3" t="s">
        <v>29</v>
      </c>
      <c r="G11" s="3" t="s">
        <v>31</v>
      </c>
      <c r="H11" s="3" t="s">
        <v>32</v>
      </c>
      <c r="I11" s="3">
        <v>4</v>
      </c>
      <c r="J11" s="3">
        <v>8001</v>
      </c>
      <c r="K11" s="3" t="s">
        <v>33</v>
      </c>
      <c r="L11" s="3" t="s">
        <v>34</v>
      </c>
      <c r="M11" s="3"/>
      <c r="N11" s="3" t="s">
        <v>35</v>
      </c>
      <c r="O11" s="3" t="s">
        <v>36</v>
      </c>
      <c r="P11" s="3" t="s">
        <v>183</v>
      </c>
      <c r="Q11" s="3" t="s">
        <v>189</v>
      </c>
      <c r="R11" s="4">
        <v>20</v>
      </c>
      <c r="S11" s="3" t="s">
        <v>36</v>
      </c>
      <c r="T11" s="4">
        <v>10</v>
      </c>
      <c r="U11" s="3" t="s">
        <v>36</v>
      </c>
      <c r="V11" s="4">
        <v>10</v>
      </c>
      <c r="W11" s="3" t="s">
        <v>36</v>
      </c>
      <c r="X11" s="4">
        <v>5</v>
      </c>
      <c r="Y11" s="3" t="s">
        <v>37</v>
      </c>
      <c r="Z11" s="4">
        <v>10</v>
      </c>
      <c r="AA11" s="3" t="s">
        <v>37</v>
      </c>
      <c r="AB11" s="4">
        <v>10</v>
      </c>
      <c r="AC11" t="str">
        <f>_xlfn.TEXTJOIN(",",,"INSERT INTO assetList VALUES (",A11,B11,C11,F11,E11,G11,H11,I11,J11,K11,L11,N11,P11,Q11,R11,S11,T11,U11,V11,W11,X11,Y11,Z11,AA11,AB11,")")</f>
        <v>INSERT INTO assetList VALUES (,100001.1,Hotel,Hotel Altstadt,8.54411,47.36936,3*,Kirchgasse,4,8001,Zürich,Switzerland,SingleStandard,2021-06-10 13:00:00.000000,2021-06-11 12:00:00.000000,20,true,10,true,10,true,5,false,10,false,10,)</v>
      </c>
    </row>
    <row r="12" spans="1:33" ht="17" hidden="1" customHeight="1" x14ac:dyDescent="0.2">
      <c r="A12" s="3" t="s">
        <v>192</v>
      </c>
      <c r="B12" s="3" t="s">
        <v>27</v>
      </c>
      <c r="C12" s="3" t="s">
        <v>28</v>
      </c>
      <c r="D12" s="5">
        <v>0.39335769619835681</v>
      </c>
      <c r="E12" s="3" t="s">
        <v>30</v>
      </c>
      <c r="F12" s="3" t="s">
        <v>29</v>
      </c>
      <c r="G12" s="3" t="s">
        <v>31</v>
      </c>
      <c r="H12" s="3" t="s">
        <v>32</v>
      </c>
      <c r="I12" s="3">
        <v>4</v>
      </c>
      <c r="J12" s="3">
        <v>8001</v>
      </c>
      <c r="K12" s="3" t="s">
        <v>33</v>
      </c>
      <c r="L12" s="3" t="s">
        <v>34</v>
      </c>
      <c r="M12" s="3"/>
      <c r="N12" s="3" t="s">
        <v>174</v>
      </c>
      <c r="O12" s="3" t="s">
        <v>36</v>
      </c>
      <c r="P12" s="3" t="s">
        <v>183</v>
      </c>
      <c r="Q12" s="3" t="s">
        <v>189</v>
      </c>
      <c r="R12" s="4">
        <v>25</v>
      </c>
      <c r="S12" s="3" t="s">
        <v>36</v>
      </c>
      <c r="T12" s="4">
        <v>10</v>
      </c>
      <c r="U12" s="3" t="s">
        <v>36</v>
      </c>
      <c r="V12" s="4">
        <v>10</v>
      </c>
      <c r="W12" s="3" t="s">
        <v>36</v>
      </c>
      <c r="X12" s="4">
        <v>5</v>
      </c>
      <c r="Y12" s="3" t="s">
        <v>37</v>
      </c>
      <c r="Z12" s="4">
        <v>10</v>
      </c>
      <c r="AA12" s="3" t="s">
        <v>37</v>
      </c>
      <c r="AB12" s="4">
        <v>10</v>
      </c>
      <c r="AC12" t="str">
        <f>_xlfn.TEXTJOIN(",",,"INSERT INTO assetList VALUES (",A12,B12,C12,F12,E12,G12,H12,I12,J12,K12,L12,N12,P12,Q12,R12,S12,T12,U12,V12,W12,X12,Y12,Z12,AA12,AB12,")")</f>
        <v>INSERT INTO assetList VALUES (,100001.2,Hotel,Hotel Altstadt,8.54411,47.36936,3*,Kirchgasse,4,8001,Zürich,Switzerland,"SingelBusiness",2021-06-10 13:00:00.000000,2021-06-11 12:00:00.000000,25,true,10,true,10,true,5,false,10,false,10,)</v>
      </c>
    </row>
    <row r="13" spans="1:33" ht="17" hidden="1" customHeight="1" x14ac:dyDescent="0.2">
      <c r="A13" s="3" t="s">
        <v>193</v>
      </c>
      <c r="B13" s="3" t="s">
        <v>27</v>
      </c>
      <c r="C13" s="3" t="s">
        <v>28</v>
      </c>
      <c r="D13" s="5">
        <v>0.39335769619835681</v>
      </c>
      <c r="E13" s="3" t="s">
        <v>30</v>
      </c>
      <c r="F13" s="3" t="s">
        <v>29</v>
      </c>
      <c r="G13" s="3" t="s">
        <v>31</v>
      </c>
      <c r="H13" s="3" t="s">
        <v>32</v>
      </c>
      <c r="I13" s="3">
        <v>4</v>
      </c>
      <c r="J13" s="3">
        <v>8001</v>
      </c>
      <c r="K13" s="3" t="s">
        <v>33</v>
      </c>
      <c r="L13" s="3" t="s">
        <v>34</v>
      </c>
      <c r="M13" s="3"/>
      <c r="N13" s="3" t="s">
        <v>161</v>
      </c>
      <c r="O13" s="3" t="s">
        <v>36</v>
      </c>
      <c r="P13" s="3" t="s">
        <v>183</v>
      </c>
      <c r="Q13" s="3" t="s">
        <v>189</v>
      </c>
      <c r="R13" s="4">
        <v>30</v>
      </c>
      <c r="S13" s="3" t="s">
        <v>36</v>
      </c>
      <c r="T13" s="4">
        <v>10</v>
      </c>
      <c r="U13" s="3" t="s">
        <v>36</v>
      </c>
      <c r="V13" s="4">
        <v>10</v>
      </c>
      <c r="W13" s="3" t="s">
        <v>36</v>
      </c>
      <c r="X13" s="4">
        <v>5</v>
      </c>
      <c r="Y13" s="3" t="s">
        <v>37</v>
      </c>
      <c r="Z13" s="4">
        <v>10</v>
      </c>
      <c r="AA13" s="3" t="s">
        <v>37</v>
      </c>
      <c r="AB13" s="4">
        <v>10</v>
      </c>
      <c r="AC13" t="str">
        <f>_xlfn.TEXTJOIN(",",,"INSERT INTO assetList VALUES (",A13,B13,C13,F13,E13,G13,H13,I13,J13,K13,L13,N13,P13,Q13,R13,S13,T13,U13,V13,W13,X13,Y13,Z13,AA13,AB13,")")</f>
        <v>INSERT INTO assetList VALUES (,100001.3,Hotel,Hotel Altstadt,8.54411,47.36936,3*,Kirchgasse,4,8001,Zürich,Switzerland,JuniorSuite,2021-06-10 13:00:00.000000,2021-06-11 12:00:00.000000,30,true,10,true,10,true,5,false,10,false,10,)</v>
      </c>
    </row>
    <row r="14" spans="1:33" ht="17" hidden="1" customHeight="1" x14ac:dyDescent="0.2">
      <c r="A14" s="3">
        <v>100013</v>
      </c>
      <c r="B14" s="3" t="s">
        <v>27</v>
      </c>
      <c r="C14" s="3" t="s">
        <v>80</v>
      </c>
      <c r="D14" s="5">
        <v>0.41839167137854638</v>
      </c>
      <c r="E14" s="3" t="s">
        <v>82</v>
      </c>
      <c r="F14" s="3" t="s">
        <v>81</v>
      </c>
      <c r="G14" s="3" t="s">
        <v>31</v>
      </c>
      <c r="H14" s="3" t="s">
        <v>83</v>
      </c>
      <c r="I14" s="3">
        <v>7</v>
      </c>
      <c r="J14" s="3">
        <v>8001</v>
      </c>
      <c r="K14" s="3" t="s">
        <v>33</v>
      </c>
      <c r="L14" s="3" t="s">
        <v>34</v>
      </c>
      <c r="M14" s="3"/>
      <c r="N14" s="3" t="s">
        <v>53</v>
      </c>
      <c r="O14" s="3" t="s">
        <v>36</v>
      </c>
      <c r="P14" s="3" t="s">
        <v>185</v>
      </c>
      <c r="Q14" s="3" t="s">
        <v>189</v>
      </c>
      <c r="R14" s="4">
        <v>25</v>
      </c>
      <c r="S14" s="3" t="s">
        <v>36</v>
      </c>
      <c r="T14" s="4">
        <v>10</v>
      </c>
      <c r="U14" s="3" t="s">
        <v>36</v>
      </c>
      <c r="V14" s="4">
        <v>10</v>
      </c>
      <c r="W14" s="3" t="s">
        <v>37</v>
      </c>
      <c r="X14" s="4">
        <v>5</v>
      </c>
      <c r="Y14" s="3" t="s">
        <v>37</v>
      </c>
      <c r="Z14" s="4">
        <v>10</v>
      </c>
      <c r="AA14" s="3" t="s">
        <v>37</v>
      </c>
      <c r="AB14" s="4">
        <v>10</v>
      </c>
      <c r="AC14" t="str">
        <f>_xlfn.TEXTJOIN(",",,"INSERT INTO assetList VALUES (",A14,B14,C14,F14,E14,G14,H14,I14,J14,K14,L14,N14,P14,Q14,R14,S14,T14,U14,V14,W14,X14,Y14,Z14,AA14,AB14,")")</f>
        <v>INSERT INTO assetList VALUES (,100013,Hotel,Hotel Rösli,8.54443,47.36924,3*,Rösligasse,7,8001,Zürich,Switzerland,DoubleStandard,2021-06-10 14:00:00.000000,2021-06-11 12:00:00.000000,25,true,10,true,10,false,5,false,10,false,10,)</v>
      </c>
    </row>
    <row r="15" spans="1:33" ht="17" hidden="1" customHeight="1" x14ac:dyDescent="0.2">
      <c r="A15" s="3">
        <v>100028</v>
      </c>
      <c r="B15" s="3" t="s">
        <v>27</v>
      </c>
      <c r="C15" s="3" t="s">
        <v>140</v>
      </c>
      <c r="D15" s="5">
        <v>0.43048741812298325</v>
      </c>
      <c r="E15" s="3" t="s">
        <v>68</v>
      </c>
      <c r="F15" s="3" t="s">
        <v>141</v>
      </c>
      <c r="G15" s="3" t="s">
        <v>124</v>
      </c>
      <c r="H15" s="3" t="s">
        <v>142</v>
      </c>
      <c r="I15" s="3">
        <v>31</v>
      </c>
      <c r="J15" s="3">
        <v>8001</v>
      </c>
      <c r="K15" s="3" t="s">
        <v>33</v>
      </c>
      <c r="L15" s="3" t="s">
        <v>34</v>
      </c>
      <c r="M15" s="3"/>
      <c r="N15" s="3" t="s">
        <v>143</v>
      </c>
      <c r="O15" s="3" t="s">
        <v>36</v>
      </c>
      <c r="P15" s="3" t="s">
        <v>187</v>
      </c>
      <c r="Q15" s="3" t="s">
        <v>190</v>
      </c>
      <c r="R15" s="4">
        <v>34</v>
      </c>
      <c r="S15" s="3" t="s">
        <v>36</v>
      </c>
      <c r="T15" s="4">
        <v>15</v>
      </c>
      <c r="U15" s="3" t="s">
        <v>36</v>
      </c>
      <c r="V15" s="4">
        <v>15</v>
      </c>
      <c r="W15" s="3" t="s">
        <v>37</v>
      </c>
      <c r="X15" s="4">
        <v>8</v>
      </c>
      <c r="Y15" s="3" t="s">
        <v>36</v>
      </c>
      <c r="Z15" s="4">
        <v>10</v>
      </c>
      <c r="AA15" s="3" t="s">
        <v>36</v>
      </c>
      <c r="AB15" s="4">
        <v>10</v>
      </c>
      <c r="AC15" t="str">
        <f>_xlfn.TEXTJOIN(",",,"INSERT INTO assetList VALUES (",A15,B15,C15,F15,E15,G15,H15,I15,J15,K15,L15,N15,P15,Q15,R15,S15,T15,U15,V15,W15,X15,Y15,Z15,AA15,AB15,")")</f>
        <v>INSERT INTO assetList VALUES (,100028,Hotel,Hotel Glockenhof Zürich,8.53685,47.37319,4*,Sihlstrasse,31,8001,Zürich,Switzerland,DoubleSuperior,2021-06-10 15:00:00.000000,2021-08-19 15:00:00.000000,34,true,15,true,15,false,8,true,10,true,10,)</v>
      </c>
    </row>
    <row r="16" spans="1:33" ht="17" customHeight="1" x14ac:dyDescent="0.2">
      <c r="A16" s="3">
        <v>100018</v>
      </c>
      <c r="B16" s="3" t="s">
        <v>27</v>
      </c>
      <c r="C16" s="3" t="s">
        <v>99</v>
      </c>
      <c r="D16" s="5">
        <v>0.43993180323910136</v>
      </c>
      <c r="E16" s="3" t="s">
        <v>101</v>
      </c>
      <c r="F16" s="3" t="s">
        <v>100</v>
      </c>
      <c r="G16" s="3" t="s">
        <v>31</v>
      </c>
      <c r="H16" s="3" t="s">
        <v>102</v>
      </c>
      <c r="I16" s="3">
        <v>18</v>
      </c>
      <c r="J16" s="3">
        <v>8001</v>
      </c>
      <c r="K16" s="3" t="s">
        <v>33</v>
      </c>
      <c r="L16" s="3" t="s">
        <v>34</v>
      </c>
      <c r="M16" s="3"/>
      <c r="N16" s="3" t="s">
        <v>103</v>
      </c>
      <c r="O16" s="3" t="s">
        <v>36</v>
      </c>
      <c r="P16" s="3" t="s">
        <v>272</v>
      </c>
      <c r="Q16" s="3" t="s">
        <v>273</v>
      </c>
      <c r="R16" s="4">
        <v>27</v>
      </c>
      <c r="S16" s="3" t="s">
        <v>36</v>
      </c>
      <c r="T16" s="4">
        <v>10</v>
      </c>
      <c r="U16" s="3" t="s">
        <v>36</v>
      </c>
      <c r="V16" s="4">
        <v>10</v>
      </c>
      <c r="W16" s="3" t="s">
        <v>36</v>
      </c>
      <c r="X16" s="4">
        <v>5</v>
      </c>
      <c r="Y16" s="3" t="s">
        <v>37</v>
      </c>
      <c r="Z16" s="4">
        <v>10</v>
      </c>
      <c r="AA16" s="3" t="s">
        <v>37</v>
      </c>
      <c r="AB16" s="4">
        <v>10</v>
      </c>
      <c r="AC16" t="str">
        <f>_xlfn.TEXTJOIN(",",,"INSERT INTO assetList VALUES (",A16,B16,C16,F16,E16,G16,H16,I16,J16,K16,L16,N16,P16,Q16,R16,S16,T16,U16,V16,W16,X16,Y16,Z16,AA16,AB16,")")</f>
        <v>INSERT INTO assetList VALUES (,100018,Hotel,Hotel California,8.5446,47.36872,3*,Schifflände,18,8001,Zürich,Switzerland,DoubleBusiness,2021-06-11 14:00:00.000000,2021-06-12 17:00:00.000000,27,true,10,true,10,true,5,false,10,false,10,)</v>
      </c>
    </row>
    <row r="17" spans="1:29" ht="17" hidden="1" customHeight="1" x14ac:dyDescent="0.2">
      <c r="A17" s="3">
        <v>100033</v>
      </c>
      <c r="B17" s="3" t="s">
        <v>27</v>
      </c>
      <c r="C17" s="3" t="s">
        <v>158</v>
      </c>
      <c r="D17" s="5">
        <v>0.45063977198309263</v>
      </c>
      <c r="E17" s="3" t="s">
        <v>159</v>
      </c>
      <c r="F17" s="3" t="s">
        <v>39</v>
      </c>
      <c r="G17" s="3" t="s">
        <v>124</v>
      </c>
      <c r="H17" s="3" t="s">
        <v>160</v>
      </c>
      <c r="I17" s="3">
        <v>17</v>
      </c>
      <c r="J17" s="3">
        <v>8001</v>
      </c>
      <c r="K17" s="3" t="s">
        <v>33</v>
      </c>
      <c r="L17" s="3" t="s">
        <v>34</v>
      </c>
      <c r="M17" s="3"/>
      <c r="N17" s="3" t="s">
        <v>161</v>
      </c>
      <c r="O17" s="3" t="s">
        <v>36</v>
      </c>
      <c r="P17" s="3" t="s">
        <v>188</v>
      </c>
      <c r="Q17" s="3" t="s">
        <v>190</v>
      </c>
      <c r="R17" s="4">
        <v>40</v>
      </c>
      <c r="S17" s="3" t="s">
        <v>36</v>
      </c>
      <c r="T17" s="4">
        <v>15</v>
      </c>
      <c r="U17" s="3" t="s">
        <v>36</v>
      </c>
      <c r="V17" s="4">
        <v>15</v>
      </c>
      <c r="W17" s="3" t="s">
        <v>36</v>
      </c>
      <c r="X17" s="4">
        <v>8</v>
      </c>
      <c r="Y17" s="3" t="s">
        <v>36</v>
      </c>
      <c r="Z17" s="4">
        <v>10</v>
      </c>
      <c r="AA17" s="3" t="s">
        <v>36</v>
      </c>
      <c r="AB17" s="4">
        <v>10</v>
      </c>
      <c r="AC17" t="str">
        <f>_xlfn.TEXTJOIN(",",,"INSERT INTO assetList VALUES (",A17,B17,C17,F17,E17,G17,H17,I17,J17,K17,L17,N17,P17,Q17,R17,S17,T17,U17,V17,W17,X17,Y17,Z17,AA17,AB17,")")</f>
        <v>INSERT INTO assetList VALUES (,100033,Hotel,Hotel Marktgasse,8.54368,47.37201,4*,Marktgasse,17,8001,Zürich,Switzerland,JuniorSuite,2021-06-10 16:00:00.000000,2021-08-19 15:00:00.000000,40,true,15,true,15,true,8,true,10,true,10,)</v>
      </c>
    </row>
    <row r="18" spans="1:29" ht="17" hidden="1" customHeight="1" x14ac:dyDescent="0.2">
      <c r="A18" s="3">
        <v>100009</v>
      </c>
      <c r="B18" s="3" t="s">
        <v>27</v>
      </c>
      <c r="C18" s="3" t="s">
        <v>66</v>
      </c>
      <c r="D18" s="5">
        <v>0.53875445250870102</v>
      </c>
      <c r="E18" s="3" t="s">
        <v>68</v>
      </c>
      <c r="F18" s="3" t="s">
        <v>67</v>
      </c>
      <c r="G18" s="3" t="s">
        <v>31</v>
      </c>
      <c r="H18" s="3" t="s">
        <v>69</v>
      </c>
      <c r="I18" s="3">
        <v>10</v>
      </c>
      <c r="J18" s="3">
        <v>8001</v>
      </c>
      <c r="K18" s="3" t="s">
        <v>33</v>
      </c>
      <c r="L18" s="3" t="s">
        <v>34</v>
      </c>
      <c r="M18" s="3"/>
      <c r="N18" s="3" t="s">
        <v>53</v>
      </c>
      <c r="O18" s="3" t="s">
        <v>36</v>
      </c>
      <c r="P18" s="3" t="s">
        <v>184</v>
      </c>
      <c r="Q18" s="3" t="s">
        <v>189</v>
      </c>
      <c r="R18" s="4">
        <v>25</v>
      </c>
      <c r="S18" s="3" t="s">
        <v>36</v>
      </c>
      <c r="T18" s="4">
        <v>10</v>
      </c>
      <c r="U18" s="3" t="s">
        <v>36</v>
      </c>
      <c r="V18" s="4">
        <v>10</v>
      </c>
      <c r="W18" s="3" t="s">
        <v>37</v>
      </c>
      <c r="X18" s="4">
        <v>5</v>
      </c>
      <c r="Y18" s="3" t="s">
        <v>37</v>
      </c>
      <c r="Z18" s="4">
        <v>10</v>
      </c>
      <c r="AA18" s="3" t="s">
        <v>36</v>
      </c>
      <c r="AB18" s="4">
        <v>10</v>
      </c>
      <c r="AC18" t="str">
        <f>_xlfn.TEXTJOIN(",",,"INSERT INTO assetList VALUES (",A18,B18,C18,F18,E18,G18,H18,I18,J18,K18,L18,N18,P18,Q18,R18,S18,T18,U18,V18,W18,X18,Y18,Z18,AA18,AB18,")")</f>
        <v>INSERT INTO assetList VALUES (,100009,Hotel,Hotel Adler,8.54366,47.37319,3*,Rosengasse,10,8001,Zürich,Switzerland,DoubleStandard,2021-06-10 13:30:00.000000,2021-06-11 12:00:00.000000,25,true,10,true,10,false,5,false,10,true,10,)</v>
      </c>
    </row>
    <row r="19" spans="1:29" ht="17" hidden="1" customHeight="1" x14ac:dyDescent="0.2">
      <c r="A19" s="3">
        <v>100029</v>
      </c>
      <c r="B19" s="3" t="s">
        <v>27</v>
      </c>
      <c r="C19" s="3" t="s">
        <v>144</v>
      </c>
      <c r="D19" s="5">
        <v>0.54207560015804035</v>
      </c>
      <c r="E19" s="3" t="s">
        <v>146</v>
      </c>
      <c r="F19" s="3" t="s">
        <v>145</v>
      </c>
      <c r="G19" s="3" t="s">
        <v>124</v>
      </c>
      <c r="H19" s="3" t="s">
        <v>41</v>
      </c>
      <c r="I19" s="3">
        <v>10</v>
      </c>
      <c r="J19" s="3">
        <v>8001</v>
      </c>
      <c r="K19" s="3" t="s">
        <v>33</v>
      </c>
      <c r="L19" s="3" t="s">
        <v>34</v>
      </c>
      <c r="M19" s="3"/>
      <c r="N19" s="3" t="s">
        <v>143</v>
      </c>
      <c r="O19" s="3" t="s">
        <v>36</v>
      </c>
      <c r="P19" s="3" t="s">
        <v>188</v>
      </c>
      <c r="Q19" s="3" t="s">
        <v>190</v>
      </c>
      <c r="R19" s="4">
        <v>34</v>
      </c>
      <c r="S19" s="3" t="s">
        <v>36</v>
      </c>
      <c r="T19" s="4">
        <v>15</v>
      </c>
      <c r="U19" s="3" t="s">
        <v>36</v>
      </c>
      <c r="V19" s="4">
        <v>15</v>
      </c>
      <c r="W19" s="3" t="s">
        <v>37</v>
      </c>
      <c r="X19" s="4">
        <v>8</v>
      </c>
      <c r="Y19" s="3" t="s">
        <v>36</v>
      </c>
      <c r="Z19" s="4">
        <v>10</v>
      </c>
      <c r="AA19" s="3" t="s">
        <v>36</v>
      </c>
      <c r="AB19" s="4">
        <v>10</v>
      </c>
      <c r="AC19" t="str">
        <f>_xlfn.TEXTJOIN(",",,"INSERT INTO assetList VALUES (",A19,B19,C19,F19,E19,G19,H19,I19,J19,K19,L19,N19,P19,Q19,R19,S19,T19,U19,V19,W19,X19,Y19,Z19,AA19,AB19,")")</f>
        <v>INSERT INTO assetList VALUES (,100029,Hotel,Hotel Wellenberg,8.54393,47.37306,4*,Niederdorfstrasse,10,8001,Zürich,Switzerland,DoubleSuperior,2021-06-10 16:00:00.000000,2021-08-19 15:00:00.000000,34,true,15,true,15,false,8,true,10,true,10,)</v>
      </c>
    </row>
    <row r="20" spans="1:29" ht="17" customHeight="1" x14ac:dyDescent="0.2">
      <c r="A20" s="3">
        <v>100020</v>
      </c>
      <c r="B20" s="3" t="s">
        <v>27</v>
      </c>
      <c r="C20" s="3" t="s">
        <v>108</v>
      </c>
      <c r="D20" s="5">
        <v>0.55687896481093146</v>
      </c>
      <c r="E20" s="3" t="s">
        <v>110</v>
      </c>
      <c r="F20" s="3" t="s">
        <v>109</v>
      </c>
      <c r="G20" s="3" t="s">
        <v>31</v>
      </c>
      <c r="H20" s="3" t="s">
        <v>41</v>
      </c>
      <c r="I20" s="3">
        <v>13</v>
      </c>
      <c r="J20" s="3">
        <v>8001</v>
      </c>
      <c r="K20" s="3" t="s">
        <v>33</v>
      </c>
      <c r="L20" s="3" t="s">
        <v>34</v>
      </c>
      <c r="M20" s="3"/>
      <c r="N20" s="3" t="s">
        <v>103</v>
      </c>
      <c r="O20" s="3" t="s">
        <v>36</v>
      </c>
      <c r="P20" s="3" t="s">
        <v>272</v>
      </c>
      <c r="Q20" s="3" t="s">
        <v>273</v>
      </c>
      <c r="R20" s="4">
        <v>27</v>
      </c>
      <c r="S20" s="3" t="s">
        <v>36</v>
      </c>
      <c r="T20" s="4">
        <v>10</v>
      </c>
      <c r="U20" s="3" t="s">
        <v>36</v>
      </c>
      <c r="V20" s="4">
        <v>10</v>
      </c>
      <c r="W20" s="3" t="s">
        <v>36</v>
      </c>
      <c r="X20" s="4">
        <v>5</v>
      </c>
      <c r="Y20" s="3" t="s">
        <v>37</v>
      </c>
      <c r="Z20" s="4">
        <v>10</v>
      </c>
      <c r="AA20" s="3" t="s">
        <v>37</v>
      </c>
      <c r="AB20" s="4">
        <v>10</v>
      </c>
      <c r="AC20" t="str">
        <f>_xlfn.TEXTJOIN(",",,"INSERT INTO assetList VALUES (",A20,B20,C20,F20,E20,G20,H20,I20,J20,K20,L20,N20,P20,Q20,R20,S20,T20,U20,V20,W20,X20,Y20,Z20,AA20,AB20,")")</f>
        <v>INSERT INTO assetList VALUES (,100020,Hotel,Hotel Hirschen,8.54367,47.3734,3*,Niederdorfstrasse,13,8001,Zürich,Switzerland,DoubleBusiness,2021-06-11 14:00:00.000000,2021-06-12 17:00:00.000000,27,true,10,true,10,true,5,false,10,false,10,)</v>
      </c>
    </row>
    <row r="21" spans="1:29" ht="17" hidden="1" customHeight="1" x14ac:dyDescent="0.2">
      <c r="A21" s="3" t="s">
        <v>194</v>
      </c>
      <c r="B21" s="3" t="s">
        <v>27</v>
      </c>
      <c r="C21" s="3" t="s">
        <v>38</v>
      </c>
      <c r="D21" s="5">
        <v>0.5762487761566778</v>
      </c>
      <c r="E21" s="3" t="s">
        <v>40</v>
      </c>
      <c r="F21" s="3" t="s">
        <v>39</v>
      </c>
      <c r="G21" s="3" t="s">
        <v>31</v>
      </c>
      <c r="H21" s="3" t="s">
        <v>41</v>
      </c>
      <c r="I21" s="3">
        <v>17</v>
      </c>
      <c r="J21" s="3">
        <v>8001</v>
      </c>
      <c r="K21" s="3" t="s">
        <v>33</v>
      </c>
      <c r="L21" s="3" t="s">
        <v>34</v>
      </c>
      <c r="M21" s="3"/>
      <c r="N21" s="3" t="s">
        <v>35</v>
      </c>
      <c r="O21" s="3" t="s">
        <v>36</v>
      </c>
      <c r="P21" s="3" t="s">
        <v>183</v>
      </c>
      <c r="Q21" s="3" t="s">
        <v>189</v>
      </c>
      <c r="R21" s="4">
        <v>20</v>
      </c>
      <c r="S21" s="3" t="s">
        <v>36</v>
      </c>
      <c r="T21" s="4">
        <v>10</v>
      </c>
      <c r="U21" s="3" t="s">
        <v>36</v>
      </c>
      <c r="V21" s="4">
        <v>10</v>
      </c>
      <c r="W21" s="3" t="s">
        <v>36</v>
      </c>
      <c r="X21" s="4">
        <v>5</v>
      </c>
      <c r="Y21" s="3" t="s">
        <v>37</v>
      </c>
      <c r="Z21" s="4">
        <v>10</v>
      </c>
      <c r="AA21" s="3" t="s">
        <v>37</v>
      </c>
      <c r="AB21" s="4">
        <v>10</v>
      </c>
      <c r="AC21" t="str">
        <f>_xlfn.TEXTJOIN(",",,"INSERT INTO assetList VALUES (",A21,B21,C21,F21,E21,G21,H21,I21,J21,K21,L21,N21,P21,Q21,R21,S21,T21,U21,V21,W21,X21,Y21,Z21,AA21,AB21,")")</f>
        <v>INSERT INTO assetList VALUES (,100002.1,Hotel,Hotel Old Town,8.54368,47.37362,3*,Niederdorfstrasse,17,8001,Zürich,Switzerland,SingleStandard,2021-06-10 13:00:00.000000,2021-06-11 12:00:00.000000,20,true,10,true,10,true,5,false,10,false,10,)</v>
      </c>
    </row>
    <row r="22" spans="1:29" ht="17" hidden="1" customHeight="1" x14ac:dyDescent="0.2">
      <c r="A22" s="3" t="s">
        <v>197</v>
      </c>
      <c r="B22" s="3" t="s">
        <v>27</v>
      </c>
      <c r="C22" s="3" t="s">
        <v>38</v>
      </c>
      <c r="D22" s="5">
        <v>0.5762487761566778</v>
      </c>
      <c r="E22" s="3" t="s">
        <v>40</v>
      </c>
      <c r="F22" s="3" t="s">
        <v>39</v>
      </c>
      <c r="G22" s="3" t="s">
        <v>31</v>
      </c>
      <c r="H22" s="3" t="s">
        <v>41</v>
      </c>
      <c r="I22" s="3">
        <v>17</v>
      </c>
      <c r="J22" s="3">
        <v>8001</v>
      </c>
      <c r="K22" s="3" t="s">
        <v>33</v>
      </c>
      <c r="L22" s="3" t="s">
        <v>34</v>
      </c>
      <c r="M22" s="3"/>
      <c r="N22" s="3" t="s">
        <v>53</v>
      </c>
      <c r="O22" s="3" t="s">
        <v>36</v>
      </c>
      <c r="P22" s="3" t="s">
        <v>183</v>
      </c>
      <c r="Q22" s="3" t="s">
        <v>189</v>
      </c>
      <c r="R22" s="4">
        <v>25</v>
      </c>
      <c r="S22" s="3" t="s">
        <v>36</v>
      </c>
      <c r="T22" s="4">
        <v>10</v>
      </c>
      <c r="U22" s="3" t="s">
        <v>36</v>
      </c>
      <c r="V22" s="4">
        <v>10</v>
      </c>
      <c r="W22" s="3" t="s">
        <v>36</v>
      </c>
      <c r="X22" s="4">
        <v>5</v>
      </c>
      <c r="Y22" s="3" t="s">
        <v>37</v>
      </c>
      <c r="Z22" s="4">
        <v>10</v>
      </c>
      <c r="AA22" s="3" t="s">
        <v>37</v>
      </c>
      <c r="AB22" s="4">
        <v>10</v>
      </c>
      <c r="AC22" t="str">
        <f>_xlfn.TEXTJOIN(",",,"INSERT INTO assetList VALUES (",A22,B22,C22,F22,E22,G22,H22,I22,J22,K22,L22,N22,P22,Q22,R22,S22,T22,U22,V22,W22,X22,Y22,Z22,AA22,AB22,")")</f>
        <v>INSERT INTO assetList VALUES (,100002.2,Hotel,Hotel Old Town,8.54368,47.37362,3*,Niederdorfstrasse,17,8001,Zürich,Switzerland,DoubleStandard,2021-06-10 13:00:00.000000,2021-06-11 12:00:00.000000,25,true,10,true,10,true,5,false,10,false,10,)</v>
      </c>
    </row>
    <row r="23" spans="1:29" ht="17" hidden="1" customHeight="1" x14ac:dyDescent="0.2">
      <c r="A23" s="3" t="s">
        <v>198</v>
      </c>
      <c r="B23" s="3" t="s">
        <v>27</v>
      </c>
      <c r="C23" s="3" t="s">
        <v>38</v>
      </c>
      <c r="D23" s="5">
        <v>0.5762487761566778</v>
      </c>
      <c r="E23" s="3" t="s">
        <v>40</v>
      </c>
      <c r="F23" s="3" t="s">
        <v>39</v>
      </c>
      <c r="G23" s="3" t="s">
        <v>31</v>
      </c>
      <c r="H23" s="3" t="s">
        <v>41</v>
      </c>
      <c r="I23" s="3">
        <v>17</v>
      </c>
      <c r="J23" s="3">
        <v>8001</v>
      </c>
      <c r="K23" s="3" t="s">
        <v>33</v>
      </c>
      <c r="L23" s="3" t="s">
        <v>34</v>
      </c>
      <c r="M23" s="3"/>
      <c r="N23" s="3" t="s">
        <v>180</v>
      </c>
      <c r="O23" s="3" t="s">
        <v>36</v>
      </c>
      <c r="P23" s="3" t="s">
        <v>183</v>
      </c>
      <c r="Q23" s="3" t="s">
        <v>189</v>
      </c>
      <c r="R23" s="4">
        <v>28</v>
      </c>
      <c r="S23" s="3" t="s">
        <v>36</v>
      </c>
      <c r="T23" s="4">
        <v>10</v>
      </c>
      <c r="U23" s="3" t="s">
        <v>36</v>
      </c>
      <c r="V23" s="4">
        <v>10</v>
      </c>
      <c r="W23" s="3" t="s">
        <v>36</v>
      </c>
      <c r="X23" s="4">
        <v>5</v>
      </c>
      <c r="Y23" s="3" t="s">
        <v>36</v>
      </c>
      <c r="Z23" s="4">
        <v>10</v>
      </c>
      <c r="AA23" s="3" t="s">
        <v>37</v>
      </c>
      <c r="AB23" s="4">
        <v>10</v>
      </c>
      <c r="AC23" t="str">
        <f>_xlfn.TEXTJOIN(",",,"INSERT INTO assetList VALUES (",A23,B23,C23,F23,E23,G23,H23,I23,J23,K23,L23,N23,P23,Q23,R23,S23,T23,U23,V23,W23,X23,Y23,Z23,AA23,AB23,")")</f>
        <v>INSERT INTO assetList VALUES (,100002.3,Hotel,Hotel Old Town,8.54368,47.37362,3*,Niederdorfstrasse,17,8001,Zürich,Switzerland,"DoubleSuperior",2021-06-10 13:00:00.000000,2021-06-11 12:00:00.000000,28,true,10,true,10,true,5,true,10,false,10,)</v>
      </c>
    </row>
    <row r="24" spans="1:29" ht="17" hidden="1" customHeight="1" x14ac:dyDescent="0.2">
      <c r="A24" s="3" t="s">
        <v>199</v>
      </c>
      <c r="B24" s="3" t="s">
        <v>27</v>
      </c>
      <c r="C24" s="3" t="s">
        <v>38</v>
      </c>
      <c r="D24" s="5">
        <v>0.5762487761566778</v>
      </c>
      <c r="E24" s="3" t="s">
        <v>40</v>
      </c>
      <c r="F24" s="3" t="s">
        <v>39</v>
      </c>
      <c r="G24" s="3" t="s">
        <v>31</v>
      </c>
      <c r="H24" s="3" t="s">
        <v>41</v>
      </c>
      <c r="I24" s="3">
        <v>17</v>
      </c>
      <c r="J24" s="3">
        <v>8001</v>
      </c>
      <c r="K24" s="3" t="s">
        <v>33</v>
      </c>
      <c r="L24" s="3" t="s">
        <v>34</v>
      </c>
      <c r="M24" s="3"/>
      <c r="N24" s="3" t="s">
        <v>174</v>
      </c>
      <c r="O24" s="3" t="s">
        <v>36</v>
      </c>
      <c r="P24" s="3" t="s">
        <v>183</v>
      </c>
      <c r="Q24" s="3" t="s">
        <v>189</v>
      </c>
      <c r="R24" s="4">
        <v>24</v>
      </c>
      <c r="S24" s="3" t="s">
        <v>36</v>
      </c>
      <c r="T24" s="4">
        <v>10</v>
      </c>
      <c r="U24" s="3" t="s">
        <v>36</v>
      </c>
      <c r="V24" s="4">
        <v>10</v>
      </c>
      <c r="W24" s="3" t="s">
        <v>36</v>
      </c>
      <c r="X24" s="4">
        <v>5</v>
      </c>
      <c r="Y24" s="3" t="s">
        <v>36</v>
      </c>
      <c r="Z24" s="4">
        <v>10</v>
      </c>
      <c r="AA24" s="3" t="s">
        <v>37</v>
      </c>
      <c r="AB24" s="4">
        <v>10</v>
      </c>
      <c r="AC24" t="str">
        <f>_xlfn.TEXTJOIN(",",,"INSERT INTO assetList VALUES (",A24,B24,C24,F24,E24,G24,H24,I24,J24,K24,L24,N24,P24,Q24,R24,S24,T24,U24,V24,W24,X24,Y24,Z24,AA24,AB24,")")</f>
        <v>INSERT INTO assetList VALUES (,100002.4,Hotel,Hotel Old Town,8.54368,47.37362,3*,Niederdorfstrasse,17,8001,Zürich,Switzerland,"SingelBusiness",2021-06-10 13:00:00.000000,2021-06-11 12:00:00.000000,24,true,10,true,10,true,5,true,10,false,10,)</v>
      </c>
    </row>
    <row r="25" spans="1:29" ht="17" hidden="1" customHeight="1" x14ac:dyDescent="0.2">
      <c r="A25" s="3">
        <v>100012</v>
      </c>
      <c r="B25" s="3" t="s">
        <v>27</v>
      </c>
      <c r="C25" s="3" t="s">
        <v>76</v>
      </c>
      <c r="D25" s="5">
        <v>0.58320360888632183</v>
      </c>
      <c r="E25" s="3" t="s">
        <v>78</v>
      </c>
      <c r="F25" s="3" t="s">
        <v>77</v>
      </c>
      <c r="G25" s="3" t="s">
        <v>31</v>
      </c>
      <c r="H25" s="3" t="s">
        <v>79</v>
      </c>
      <c r="I25" s="3">
        <v>3</v>
      </c>
      <c r="J25" s="3">
        <v>8001</v>
      </c>
      <c r="K25" s="3" t="s">
        <v>33</v>
      </c>
      <c r="L25" s="3" t="s">
        <v>34</v>
      </c>
      <c r="M25" s="3"/>
      <c r="N25" s="3" t="s">
        <v>53</v>
      </c>
      <c r="O25" s="3" t="s">
        <v>36</v>
      </c>
      <c r="P25" s="3" t="s">
        <v>185</v>
      </c>
      <c r="Q25" s="3" t="s">
        <v>189</v>
      </c>
      <c r="R25" s="4">
        <v>25</v>
      </c>
      <c r="S25" s="3" t="s">
        <v>36</v>
      </c>
      <c r="T25" s="4">
        <v>10</v>
      </c>
      <c r="U25" s="3" t="s">
        <v>36</v>
      </c>
      <c r="V25" s="4">
        <v>10</v>
      </c>
      <c r="W25" s="3" t="s">
        <v>37</v>
      </c>
      <c r="X25" s="4">
        <v>5</v>
      </c>
      <c r="Y25" s="3" t="s">
        <v>37</v>
      </c>
      <c r="Z25" s="4">
        <v>10</v>
      </c>
      <c r="AA25" s="3" t="s">
        <v>37</v>
      </c>
      <c r="AB25" s="4">
        <v>10</v>
      </c>
      <c r="AC25" t="str">
        <f>_xlfn.TEXTJOIN(",",,"INSERT INTO assetList VALUES (",A25,B25,C25,F25,E25,G25,H25,I25,J25,K25,L25,N25,P25,Q25,R25,S25,T25,U25,V25,W25,X25,Y25,Z25,AA25,AB25,")")</f>
        <v>INSERT INTO assetList VALUES (,100012,Hotel,Hotel Platzhirsch,8.544,47.37352,3*,Spitalgasse,3,8001,Zürich,Switzerland,DoubleStandard,2021-06-10 14:00:00.000000,2021-06-11 12:00:00.000000,25,true,10,true,10,false,5,false,10,false,10,)</v>
      </c>
    </row>
    <row r="26" spans="1:29" ht="17" hidden="1" customHeight="1" x14ac:dyDescent="0.2">
      <c r="A26" s="3" t="s">
        <v>243</v>
      </c>
      <c r="B26" s="3" t="s">
        <v>27</v>
      </c>
      <c r="C26" s="3" t="s">
        <v>50</v>
      </c>
      <c r="D26" s="5">
        <v>0.6702381333117704</v>
      </c>
      <c r="E26" s="3" t="s">
        <v>52</v>
      </c>
      <c r="F26" s="3" t="s">
        <v>51</v>
      </c>
      <c r="G26" s="3" t="s">
        <v>31</v>
      </c>
      <c r="H26" s="3" t="s">
        <v>41</v>
      </c>
      <c r="I26" s="3">
        <v>40</v>
      </c>
      <c r="J26" s="3">
        <v>8001</v>
      </c>
      <c r="K26" s="3" t="s">
        <v>33</v>
      </c>
      <c r="L26" s="3" t="s">
        <v>34</v>
      </c>
      <c r="M26" s="3"/>
      <c r="N26" s="3" t="s">
        <v>53</v>
      </c>
      <c r="O26" s="3" t="s">
        <v>36</v>
      </c>
      <c r="P26" s="3" t="s">
        <v>183</v>
      </c>
      <c r="Q26" s="3" t="s">
        <v>189</v>
      </c>
      <c r="R26" s="4">
        <v>23</v>
      </c>
      <c r="S26" s="3" t="s">
        <v>36</v>
      </c>
      <c r="T26" s="4">
        <v>10</v>
      </c>
      <c r="U26" s="3" t="s">
        <v>36</v>
      </c>
      <c r="V26" s="4">
        <v>10</v>
      </c>
      <c r="W26" s="3" t="s">
        <v>36</v>
      </c>
      <c r="X26" s="4">
        <v>5</v>
      </c>
      <c r="Y26" s="3" t="s">
        <v>37</v>
      </c>
      <c r="Z26" s="4">
        <v>10</v>
      </c>
      <c r="AA26" s="3" t="s">
        <v>36</v>
      </c>
      <c r="AB26" s="4">
        <v>10</v>
      </c>
      <c r="AC26" t="str">
        <f>_xlfn.TEXTJOIN(",",,"INSERT INTO assetList VALUES (",A26,B26,C26,F26,E26,G26,H26,I26,J26,K26,L26,N26,P26,Q26,R26,S26,T26,U26,V26,W26,X26,Y26,Z26,AA26,AB26,")")</f>
        <v>INSERT INTO assetList VALUES (,100005,Hotel,Hotel Alexander,8.5439,47.37456,3*,Niederdorfstrasse,40,8001,Zürich,Switzerland,DoubleStandard,2021-06-10 13:00:00.000000,2021-06-11 12:00:00.000000,23,true,10,true,10,true,5,false,10,true,10,)</v>
      </c>
    </row>
    <row r="27" spans="1:29" ht="17" customHeight="1" x14ac:dyDescent="0.2">
      <c r="A27" s="3">
        <v>100014</v>
      </c>
      <c r="B27" s="3" t="s">
        <v>27</v>
      </c>
      <c r="C27" s="3" t="s">
        <v>84</v>
      </c>
      <c r="D27" s="5">
        <v>0.70403548233121005</v>
      </c>
      <c r="E27" s="3" t="s">
        <v>86</v>
      </c>
      <c r="F27" s="3" t="s">
        <v>85</v>
      </c>
      <c r="G27" s="3" t="s">
        <v>31</v>
      </c>
      <c r="H27" s="3" t="s">
        <v>87</v>
      </c>
      <c r="I27" s="3">
        <v>17</v>
      </c>
      <c r="J27" s="3">
        <v>8001</v>
      </c>
      <c r="K27" s="3" t="s">
        <v>33</v>
      </c>
      <c r="L27" s="3" t="s">
        <v>34</v>
      </c>
      <c r="M27" s="3"/>
      <c r="N27" s="3" t="s">
        <v>53</v>
      </c>
      <c r="O27" s="3" t="s">
        <v>36</v>
      </c>
      <c r="P27" s="3" t="s">
        <v>272</v>
      </c>
      <c r="Q27" s="3" t="s">
        <v>273</v>
      </c>
      <c r="R27" s="4">
        <v>25</v>
      </c>
      <c r="S27" s="3" t="s">
        <v>36</v>
      </c>
      <c r="T27" s="4">
        <v>10</v>
      </c>
      <c r="U27" s="3" t="s">
        <v>36</v>
      </c>
      <c r="V27" s="4">
        <v>10</v>
      </c>
      <c r="W27" s="3" t="s">
        <v>37</v>
      </c>
      <c r="X27" s="4">
        <v>5</v>
      </c>
      <c r="Y27" s="3" t="s">
        <v>37</v>
      </c>
      <c r="Z27" s="4">
        <v>10</v>
      </c>
      <c r="AA27" s="3" t="s">
        <v>37</v>
      </c>
      <c r="AB27" s="4">
        <v>10</v>
      </c>
      <c r="AC27" t="str">
        <f>_xlfn.TEXTJOIN(",",,"INSERT INTO assetList VALUES (",A27,B27,C27,F27,E27,G27,H27,I27,J27,K27,L27,N27,P27,Q27,R27,S27,T27,U27,V27,W27,X27,Y27,Z27,AA27,AB27,")")</f>
        <v>INSERT INTO assetList VALUES (,100014,Hotel,Hotel Scheuble,8.54488,47.37444,3*,Mühlegasse,17,8001,Zürich,Switzerland,DoubleStandard,2021-06-11 14:00:00.000000,2021-06-12 17:00:00.000000,25,true,10,true,10,false,5,false,10,false,10,)</v>
      </c>
    </row>
    <row r="28" spans="1:29" ht="17" customHeight="1" x14ac:dyDescent="0.2">
      <c r="A28" s="3">
        <v>100015</v>
      </c>
      <c r="B28" s="3" t="s">
        <v>27</v>
      </c>
      <c r="C28" s="3" t="s">
        <v>88</v>
      </c>
      <c r="D28" s="5">
        <v>0.75408336533674791</v>
      </c>
      <c r="E28" s="3" t="s">
        <v>90</v>
      </c>
      <c r="F28" s="3" t="s">
        <v>89</v>
      </c>
      <c r="G28" s="3" t="s">
        <v>31</v>
      </c>
      <c r="H28" s="3" t="s">
        <v>91</v>
      </c>
      <c r="I28" s="3">
        <v>7</v>
      </c>
      <c r="J28" s="3">
        <v>8001</v>
      </c>
      <c r="K28" s="3" t="s">
        <v>33</v>
      </c>
      <c r="L28" s="3" t="s">
        <v>34</v>
      </c>
      <c r="M28" s="3"/>
      <c r="N28" s="3" t="s">
        <v>53</v>
      </c>
      <c r="O28" s="3" t="s">
        <v>36</v>
      </c>
      <c r="P28" s="3" t="s">
        <v>272</v>
      </c>
      <c r="Q28" s="3" t="s">
        <v>273</v>
      </c>
      <c r="R28" s="4">
        <v>25</v>
      </c>
      <c r="S28" s="3" t="s">
        <v>36</v>
      </c>
      <c r="T28" s="4">
        <v>10</v>
      </c>
      <c r="U28" s="3" t="s">
        <v>36</v>
      </c>
      <c r="V28" s="4">
        <v>10</v>
      </c>
      <c r="W28" s="3" t="s">
        <v>37</v>
      </c>
      <c r="X28" s="4">
        <v>5</v>
      </c>
      <c r="Y28" s="3" t="s">
        <v>37</v>
      </c>
      <c r="Z28" s="4">
        <v>10</v>
      </c>
      <c r="AA28" s="3" t="s">
        <v>37</v>
      </c>
      <c r="AB28" s="4">
        <v>10</v>
      </c>
      <c r="AC28" t="str">
        <f>_xlfn.TEXTJOIN(",",,"INSERT INTO assetList VALUES (",A28,B28,C28,F28,E28,G28,H28,I28,J28,K28,L28,N28,P28,Q28,R28,S28,T28,U28,V28,W28,X28,Y28,Z28,AA28,AB28,")")</f>
        <v>INSERT INTO assetList VALUES (,100015,Hotel,Hotel Townhouse,8.54007,47.37631,3*,Schützengasse,7,8001,Zürich,Switzerland,DoubleStandard,2021-06-11 14:00:00.000000,2021-06-12 17:00:00.000000,25,true,10,true,10,false,5,false,10,false,10,)</v>
      </c>
    </row>
    <row r="29" spans="1:29" ht="17" hidden="1" customHeight="1" x14ac:dyDescent="0.2">
      <c r="A29" s="3">
        <v>100006</v>
      </c>
      <c r="B29" s="3" t="s">
        <v>27</v>
      </c>
      <c r="C29" s="3" t="s">
        <v>54</v>
      </c>
      <c r="D29" s="5">
        <v>0.75444054035188901</v>
      </c>
      <c r="E29" s="3" t="s">
        <v>56</v>
      </c>
      <c r="F29" s="3" t="s">
        <v>55</v>
      </c>
      <c r="G29" s="3" t="s">
        <v>31</v>
      </c>
      <c r="H29" s="3" t="s">
        <v>57</v>
      </c>
      <c r="I29" s="3">
        <v>4</v>
      </c>
      <c r="J29" s="3">
        <v>8001</v>
      </c>
      <c r="K29" s="3" t="s">
        <v>33</v>
      </c>
      <c r="L29" s="3" t="s">
        <v>34</v>
      </c>
      <c r="M29" s="3"/>
      <c r="N29" s="3" t="s">
        <v>53</v>
      </c>
      <c r="O29" s="3" t="s">
        <v>36</v>
      </c>
      <c r="P29" s="3" t="s">
        <v>184</v>
      </c>
      <c r="Q29" s="3" t="s">
        <v>189</v>
      </c>
      <c r="R29" s="4">
        <v>23</v>
      </c>
      <c r="S29" s="3" t="s">
        <v>36</v>
      </c>
      <c r="T29" s="4">
        <v>10</v>
      </c>
      <c r="U29" s="3" t="s">
        <v>36</v>
      </c>
      <c r="V29" s="4">
        <v>10</v>
      </c>
      <c r="W29" s="3" t="s">
        <v>36</v>
      </c>
      <c r="X29" s="4">
        <v>5</v>
      </c>
      <c r="Y29" s="3" t="s">
        <v>37</v>
      </c>
      <c r="Z29" s="4">
        <v>10</v>
      </c>
      <c r="AA29" s="3" t="s">
        <v>37</v>
      </c>
      <c r="AB29" s="4">
        <v>10</v>
      </c>
      <c r="AC29" t="str">
        <f>_xlfn.TEXTJOIN(",",,"INSERT INTO assetList VALUES (",A29,B29,C29,F29,E29,G29,H29,I29,J29,K29,L29,N29,P29,Q29,R29,S29,T29,U29,V29,W29,X29,Y29,Z29,AA29,AB29,")")</f>
        <v>INSERT INTO assetList VALUES (,100006,Hotel,Hotel Florhof,8.54795,47.37248,3*,Florhofgasse,4,8001,Zürich,Switzerland,DoubleStandard,2021-06-10 13:30:00.000000,2021-06-11 12:00:00.000000,23,true,10,true,10,true,5,false,10,false,10,)</v>
      </c>
    </row>
    <row r="30" spans="1:29" ht="17" hidden="1" customHeight="1" x14ac:dyDescent="0.2">
      <c r="A30" s="3">
        <v>100010</v>
      </c>
      <c r="B30" s="3" t="s">
        <v>27</v>
      </c>
      <c r="C30" s="3" t="s">
        <v>70</v>
      </c>
      <c r="D30" s="5">
        <v>0.75894682445406692</v>
      </c>
      <c r="E30" s="3" t="s">
        <v>72</v>
      </c>
      <c r="F30" s="3" t="s">
        <v>71</v>
      </c>
      <c r="G30" s="3" t="s">
        <v>31</v>
      </c>
      <c r="H30" s="3" t="s">
        <v>49</v>
      </c>
      <c r="I30" s="3">
        <v>25</v>
      </c>
      <c r="J30" s="3">
        <v>8001</v>
      </c>
      <c r="K30" s="3" t="s">
        <v>33</v>
      </c>
      <c r="L30" s="3" t="s">
        <v>34</v>
      </c>
      <c r="M30" s="3"/>
      <c r="N30" s="3" t="s">
        <v>53</v>
      </c>
      <c r="O30" s="3" t="s">
        <v>36</v>
      </c>
      <c r="P30" s="3" t="s">
        <v>184</v>
      </c>
      <c r="Q30" s="3" t="s">
        <v>189</v>
      </c>
      <c r="R30" s="4">
        <v>25</v>
      </c>
      <c r="S30" s="3" t="s">
        <v>36</v>
      </c>
      <c r="T30" s="4">
        <v>10</v>
      </c>
      <c r="U30" s="3" t="s">
        <v>36</v>
      </c>
      <c r="V30" s="4">
        <v>10</v>
      </c>
      <c r="W30" s="3" t="s">
        <v>37</v>
      </c>
      <c r="X30" s="4">
        <v>5</v>
      </c>
      <c r="Y30" s="3" t="s">
        <v>37</v>
      </c>
      <c r="Z30" s="4">
        <v>10</v>
      </c>
      <c r="AA30" s="3" t="s">
        <v>36</v>
      </c>
      <c r="AB30" s="4">
        <v>10</v>
      </c>
      <c r="AC30" t="str">
        <f>_xlfn.TEXTJOIN(",",,"INSERT INTO assetList VALUES (",A30,B30,C30,F30,E30,G30,H30,I30,J30,K30,L30,N30,P30,Q30,R30,S30,T30,U30,V30,W30,X30,Y30,Z30,AA30,AB30,")")</f>
        <v>INSERT INTO assetList VALUES (,100010,Hotel,Hotel Felix Zürich,8.54454,47.37523,3*,Zähringerstrasse,25,8001,Zürich,Switzerland,DoubleStandard,2021-06-10 13:30:00.000000,2021-06-11 12:00:00.000000,25,true,10,true,10,false,5,false,10,true,10,)</v>
      </c>
    </row>
    <row r="31" spans="1:29" ht="17" hidden="1" customHeight="1" x14ac:dyDescent="0.2">
      <c r="A31" s="3">
        <v>100031</v>
      </c>
      <c r="B31" s="3" t="s">
        <v>27</v>
      </c>
      <c r="C31" s="3" t="s">
        <v>150</v>
      </c>
      <c r="D31" s="5">
        <v>0.76091460272617906</v>
      </c>
      <c r="E31" s="3" t="s">
        <v>152</v>
      </c>
      <c r="F31" s="3" t="s">
        <v>151</v>
      </c>
      <c r="G31" s="3" t="s">
        <v>124</v>
      </c>
      <c r="H31" s="3" t="s">
        <v>153</v>
      </c>
      <c r="I31" s="3">
        <v>87</v>
      </c>
      <c r="J31" s="3">
        <v>8001</v>
      </c>
      <c r="K31" s="3" t="s">
        <v>33</v>
      </c>
      <c r="L31" s="3" t="s">
        <v>34</v>
      </c>
      <c r="M31" s="3"/>
      <c r="N31" s="3" t="s">
        <v>103</v>
      </c>
      <c r="O31" s="3" t="s">
        <v>36</v>
      </c>
      <c r="P31" s="3" t="s">
        <v>188</v>
      </c>
      <c r="Q31" s="3" t="s">
        <v>190</v>
      </c>
      <c r="R31" s="4">
        <v>36</v>
      </c>
      <c r="S31" s="3" t="s">
        <v>36</v>
      </c>
      <c r="T31" s="4">
        <v>15</v>
      </c>
      <c r="U31" s="3" t="s">
        <v>36</v>
      </c>
      <c r="V31" s="4">
        <v>15</v>
      </c>
      <c r="W31" s="3" t="s">
        <v>37</v>
      </c>
      <c r="X31" s="4">
        <v>8</v>
      </c>
      <c r="Y31" s="3" t="s">
        <v>36</v>
      </c>
      <c r="Z31" s="4">
        <v>10</v>
      </c>
      <c r="AA31" s="3" t="s">
        <v>36</v>
      </c>
      <c r="AB31" s="4">
        <v>10</v>
      </c>
      <c r="AC31" t="str">
        <f>_xlfn.TEXTJOIN(",",,"INSERT INTO assetList VALUES (",A31,B31,C31,F31,E31,G31,H31,I31,J31,K31,L31,N31,P31,Q31,R31,S31,T31,U31,V31,W31,X31,Y31,Z31,AA31,AB31,")")</f>
        <v>INSERT INTO assetList VALUES (,100031,Hotel,Hotel St. Gothard,8.53939,47.37641,4*,Bahnhofstrasse,87,8001,Zürich,Switzerland,DoubleBusiness,2021-06-10 16:00:00.000000,2021-08-19 15:00:00.000000,36,true,15,true,15,false,8,true,10,true,10,)</v>
      </c>
    </row>
    <row r="32" spans="1:29" ht="17" customHeight="1" x14ac:dyDescent="0.2">
      <c r="A32" s="3">
        <v>100017</v>
      </c>
      <c r="B32" s="3" t="s">
        <v>27</v>
      </c>
      <c r="C32" s="3" t="s">
        <v>96</v>
      </c>
      <c r="D32" s="5">
        <v>0.79261481126262334</v>
      </c>
      <c r="E32" s="3" t="s">
        <v>98</v>
      </c>
      <c r="F32" s="3" t="s">
        <v>97</v>
      </c>
      <c r="G32" s="3" t="s">
        <v>31</v>
      </c>
      <c r="H32" s="3" t="s">
        <v>49</v>
      </c>
      <c r="I32" s="3">
        <v>21</v>
      </c>
      <c r="J32" s="3">
        <v>8001</v>
      </c>
      <c r="K32" s="3" t="s">
        <v>33</v>
      </c>
      <c r="L32" s="3" t="s">
        <v>34</v>
      </c>
      <c r="M32" s="3"/>
      <c r="N32" s="3" t="s">
        <v>53</v>
      </c>
      <c r="O32" s="3" t="s">
        <v>36</v>
      </c>
      <c r="P32" s="3" t="s">
        <v>272</v>
      </c>
      <c r="Q32" s="3" t="s">
        <v>273</v>
      </c>
      <c r="R32" s="4">
        <v>25</v>
      </c>
      <c r="S32" s="3" t="s">
        <v>36</v>
      </c>
      <c r="T32" s="4">
        <v>10</v>
      </c>
      <c r="U32" s="3" t="s">
        <v>36</v>
      </c>
      <c r="V32" s="4">
        <v>10</v>
      </c>
      <c r="W32" s="3" t="s">
        <v>36</v>
      </c>
      <c r="X32" s="4">
        <v>5</v>
      </c>
      <c r="Y32" s="3" t="s">
        <v>37</v>
      </c>
      <c r="Z32" s="4">
        <v>10</v>
      </c>
      <c r="AA32" s="3" t="s">
        <v>37</v>
      </c>
      <c r="AB32" s="4">
        <v>10</v>
      </c>
      <c r="AC32" t="str">
        <f>_xlfn.TEXTJOIN(",",,"INSERT INTO assetList VALUES (",A32,B32,C32,F32,E32,G32,H32,I32,J32,K32,L32,N32,P32,Q32,R32,S32,T32,U32,V32,W32,X32,Y32,Z32,AA32,AB32,")")</f>
        <v>INSERT INTO assetList VALUES (,100017,Hotel,Hotel Zürcherhof Beste Western Plus,8.54433,47.37568,3*,Zähringerstrasse,21,8001,Zürich,Switzerland,DoubleStandard,2021-06-11 14:00:00.000000,2021-06-12 17:00:00.000000,25,true,10,true,10,true,5,false,10,false,10,)</v>
      </c>
    </row>
    <row r="33" spans="1:39" ht="17" hidden="1" customHeight="1" x14ac:dyDescent="0.2">
      <c r="A33" s="3">
        <v>100023</v>
      </c>
      <c r="B33" s="3" t="s">
        <v>27</v>
      </c>
      <c r="C33" s="3" t="s">
        <v>121</v>
      </c>
      <c r="D33" s="5">
        <v>0.82333143683142163</v>
      </c>
      <c r="E33" s="3" t="s">
        <v>123</v>
      </c>
      <c r="F33" s="3" t="s">
        <v>122</v>
      </c>
      <c r="G33" s="3" t="s">
        <v>124</v>
      </c>
      <c r="H33" s="3" t="s">
        <v>125</v>
      </c>
      <c r="I33" s="3">
        <v>7</v>
      </c>
      <c r="J33" s="3">
        <v>8001</v>
      </c>
      <c r="K33" s="3" t="s">
        <v>33</v>
      </c>
      <c r="L33" s="3" t="s">
        <v>34</v>
      </c>
      <c r="M33" s="3"/>
      <c r="N33" s="3" t="s">
        <v>35</v>
      </c>
      <c r="O33" s="3" t="s">
        <v>36</v>
      </c>
      <c r="P33" s="3" t="s">
        <v>186</v>
      </c>
      <c r="Q33" s="3" t="s">
        <v>190</v>
      </c>
      <c r="R33" s="4">
        <v>30</v>
      </c>
      <c r="S33" s="3" t="s">
        <v>36</v>
      </c>
      <c r="T33" s="4">
        <v>15</v>
      </c>
      <c r="U33" s="3" t="s">
        <v>36</v>
      </c>
      <c r="V33" s="4">
        <v>15</v>
      </c>
      <c r="W33" s="3" t="s">
        <v>37</v>
      </c>
      <c r="X33" s="4">
        <v>8</v>
      </c>
      <c r="Y33" s="3" t="s">
        <v>36</v>
      </c>
      <c r="Z33" s="4">
        <v>10</v>
      </c>
      <c r="AA33" s="3" t="s">
        <v>36</v>
      </c>
      <c r="AB33" s="4">
        <v>10</v>
      </c>
      <c r="AC33" t="str">
        <f>_xlfn.TEXTJOIN(",",,"INSERT INTO assetList VALUES (",A33,B33,C33,F33,E33,G33,H33,I33,J33,K33,L33,N33,P33,Q33,R33,S33,T33,U33,V33,W33,X33,Y33,Z33,AA33,AB33,")")</f>
        <v>INSERT INTO assetList VALUES (,100023,Hotel,Hotel Schweizerhof,8.53945,47.37697,4*,Bahnhofplatz,7,8001,Zürich,Switzerland,SingleStandard,2021-06-10 14:45:00.000000,2021-08-19 15:00:00.000000,30,true,15,true,15,false,8,true,10,true,10,)</v>
      </c>
    </row>
    <row r="34" spans="1:39" ht="17" customHeight="1" x14ac:dyDescent="0.2">
      <c r="A34" s="3">
        <v>100021</v>
      </c>
      <c r="B34" s="3" t="s">
        <v>27</v>
      </c>
      <c r="C34" s="3" t="s">
        <v>111</v>
      </c>
      <c r="D34" s="5">
        <v>0.82533844648392674</v>
      </c>
      <c r="E34" s="3" t="s">
        <v>113</v>
      </c>
      <c r="F34" s="3" t="s">
        <v>112</v>
      </c>
      <c r="G34" s="3" t="s">
        <v>31</v>
      </c>
      <c r="H34" s="3" t="s">
        <v>114</v>
      </c>
      <c r="I34" s="3">
        <v>64</v>
      </c>
      <c r="J34" s="3">
        <v>8001</v>
      </c>
      <c r="K34" s="3" t="s">
        <v>33</v>
      </c>
      <c r="L34" s="3" t="s">
        <v>34</v>
      </c>
      <c r="M34" s="3"/>
      <c r="N34" s="3" t="s">
        <v>103</v>
      </c>
      <c r="O34" s="3" t="s">
        <v>36</v>
      </c>
      <c r="P34" s="3" t="s">
        <v>272</v>
      </c>
      <c r="Q34" s="3" t="s">
        <v>273</v>
      </c>
      <c r="R34" s="4">
        <v>27</v>
      </c>
      <c r="S34" s="3" t="s">
        <v>36</v>
      </c>
      <c r="T34" s="4">
        <v>10</v>
      </c>
      <c r="U34" s="3" t="s">
        <v>36</v>
      </c>
      <c r="V34" s="4">
        <v>10</v>
      </c>
      <c r="W34" s="3" t="s">
        <v>36</v>
      </c>
      <c r="X34" s="4">
        <v>5</v>
      </c>
      <c r="Y34" s="3" t="s">
        <v>37</v>
      </c>
      <c r="Z34" s="4">
        <v>10</v>
      </c>
      <c r="AA34" s="3" t="s">
        <v>37</v>
      </c>
      <c r="AB34" s="4">
        <v>10</v>
      </c>
      <c r="AC34" t="str">
        <f>_xlfn.TEXTJOIN(",",,"INSERT INTO assetList VALUES (",A34,B34,C34,F34,E34,G34,H34,I34,J34,K34,L34,N34,P34,Q34,R34,S34,T34,U34,V34,W34,X34,Y34,Z34,AA34,AB34,")")</f>
        <v>INSERT INTO assetList VALUES (,100021,Hotel,Hotel St. Josef,8.5458,47.37534,3*,Hirschengraben,64,8001,Zürich,Switzerland,DoubleBusiness,2021-06-11 14:00:00.000000,2021-06-12 17:00:00.000000,27,true,10,true,10,true,5,false,10,false,10,)</v>
      </c>
    </row>
    <row r="35" spans="1:39" ht="17" hidden="1" customHeight="1" x14ac:dyDescent="0.2">
      <c r="A35" s="3" t="s">
        <v>196</v>
      </c>
      <c r="B35" s="3" t="s">
        <v>27</v>
      </c>
      <c r="C35" s="3" t="s">
        <v>46</v>
      </c>
      <c r="D35" s="5">
        <v>0.84472131563495312</v>
      </c>
      <c r="E35" s="3" t="s">
        <v>48</v>
      </c>
      <c r="F35" s="3" t="s">
        <v>47</v>
      </c>
      <c r="G35" s="3" t="s">
        <v>31</v>
      </c>
      <c r="H35" s="3" t="s">
        <v>49</v>
      </c>
      <c r="I35" s="3">
        <v>43</v>
      </c>
      <c r="J35" s="3">
        <v>8001</v>
      </c>
      <c r="K35" s="3" t="s">
        <v>33</v>
      </c>
      <c r="L35" s="3" t="s">
        <v>34</v>
      </c>
      <c r="M35" s="3"/>
      <c r="N35" s="3" t="s">
        <v>35</v>
      </c>
      <c r="O35" s="3" t="s">
        <v>36</v>
      </c>
      <c r="P35" s="3" t="s">
        <v>183</v>
      </c>
      <c r="Q35" s="3" t="s">
        <v>189</v>
      </c>
      <c r="R35" s="4">
        <v>20</v>
      </c>
      <c r="S35" s="3" t="s">
        <v>36</v>
      </c>
      <c r="T35" s="4">
        <v>10</v>
      </c>
      <c r="U35" s="3" t="s">
        <v>36</v>
      </c>
      <c r="V35" s="4">
        <v>10</v>
      </c>
      <c r="W35" s="3" t="s">
        <v>36</v>
      </c>
      <c r="X35" s="4">
        <v>5</v>
      </c>
      <c r="Y35" s="3" t="s">
        <v>37</v>
      </c>
      <c r="Z35" s="4">
        <v>10</v>
      </c>
      <c r="AA35" s="3" t="s">
        <v>36</v>
      </c>
      <c r="AB35" s="4">
        <v>10</v>
      </c>
      <c r="AC35" t="str">
        <f>_xlfn.TEXTJOIN(",",,"INSERT INTO assetList VALUES (",A35,B35,C35,F35,E35,G35,H35,I35,J35,K35,L35,N35,P35,Q35,R35,S35,T35,U35,V35,W35,X35,Y35,Z35,AA35,AB35,")")</f>
        <v>INSERT INTO assetList VALUES (,100004.1,Hotel,Hotel Sorell Rüti,8.54449,47.37616,3*,Zähringerstrasse,43,8001,Zürich,Switzerland,SingleStandard,2021-06-10 13:00:00.000000,2021-06-11 12:00:00.000000,20,true,10,true,10,true,5,false,10,true,10,)</v>
      </c>
    </row>
    <row r="36" spans="1:39" ht="17" hidden="1" customHeight="1" x14ac:dyDescent="0.2">
      <c r="A36" s="3" t="s">
        <v>201</v>
      </c>
      <c r="B36" s="3" t="s">
        <v>27</v>
      </c>
      <c r="C36" s="3" t="s">
        <v>46</v>
      </c>
      <c r="D36" s="5">
        <v>0.84472131563495312</v>
      </c>
      <c r="E36" s="3" t="s">
        <v>48</v>
      </c>
      <c r="F36" s="3" t="s">
        <v>47</v>
      </c>
      <c r="G36" s="3" t="s">
        <v>31</v>
      </c>
      <c r="H36" s="3" t="s">
        <v>49</v>
      </c>
      <c r="I36" s="3">
        <v>43</v>
      </c>
      <c r="J36" s="3">
        <v>8001</v>
      </c>
      <c r="K36" s="3" t="s">
        <v>33</v>
      </c>
      <c r="L36" s="3" t="s">
        <v>34</v>
      </c>
      <c r="M36" s="3"/>
      <c r="N36" s="3" t="s">
        <v>103</v>
      </c>
      <c r="O36" s="3" t="s">
        <v>36</v>
      </c>
      <c r="P36" s="3" t="s">
        <v>183</v>
      </c>
      <c r="Q36" s="3" t="s">
        <v>189</v>
      </c>
      <c r="R36" s="4">
        <v>30</v>
      </c>
      <c r="S36" s="3" t="s">
        <v>36</v>
      </c>
      <c r="T36" s="4">
        <v>10</v>
      </c>
      <c r="U36" s="3" t="s">
        <v>36</v>
      </c>
      <c r="V36" s="4">
        <v>10</v>
      </c>
      <c r="W36" s="3" t="s">
        <v>36</v>
      </c>
      <c r="X36" s="4">
        <v>5</v>
      </c>
      <c r="Y36" s="3" t="s">
        <v>37</v>
      </c>
      <c r="Z36" s="4">
        <v>10</v>
      </c>
      <c r="AA36" s="3" t="s">
        <v>36</v>
      </c>
      <c r="AB36" s="4">
        <v>10</v>
      </c>
      <c r="AC36" t="str">
        <f>_xlfn.TEXTJOIN(",",,"INSERT INTO assetList VALUES (",A36,B36,C36,F36,E36,G36,H36,I36,J36,K36,L36,N36,P36,Q36,R36,S36,T36,U36,V36,W36,X36,Y36,Z36,AA36,AB36,")")</f>
        <v>INSERT INTO assetList VALUES (,100004.2,Hotel,Hotel Sorell Rüti,8.54449,47.37616,3*,Zähringerstrasse,43,8001,Zürich,Switzerland,DoubleBusiness,2021-06-10 13:00:00.000000,2021-06-11 12:00:00.000000,30,true,10,true,10,true,5,false,10,true,10,)</v>
      </c>
    </row>
    <row r="37" spans="1:39" ht="17" hidden="1" customHeight="1" x14ac:dyDescent="0.2">
      <c r="A37" s="3" t="s">
        <v>248</v>
      </c>
      <c r="B37" s="3" t="s">
        <v>27</v>
      </c>
      <c r="C37" s="3" t="s">
        <v>134</v>
      </c>
      <c r="D37" s="5">
        <v>0.84472131563495312</v>
      </c>
      <c r="E37" s="3" t="s">
        <v>48</v>
      </c>
      <c r="F37" s="3" t="s">
        <v>47</v>
      </c>
      <c r="G37" s="3" t="s">
        <v>124</v>
      </c>
      <c r="H37" s="3" t="s">
        <v>135</v>
      </c>
      <c r="I37" s="3">
        <v>1</v>
      </c>
      <c r="J37" s="3">
        <v>8006</v>
      </c>
      <c r="K37" s="3" t="s">
        <v>33</v>
      </c>
      <c r="L37" s="3" t="s">
        <v>34</v>
      </c>
      <c r="M37" s="3"/>
      <c r="N37" s="3" t="s">
        <v>35</v>
      </c>
      <c r="O37" s="3" t="s">
        <v>36</v>
      </c>
      <c r="P37" s="3" t="s">
        <v>187</v>
      </c>
      <c r="Q37" s="3" t="s">
        <v>190</v>
      </c>
      <c r="R37" s="4">
        <v>32</v>
      </c>
      <c r="S37" s="3" t="s">
        <v>36</v>
      </c>
      <c r="T37" s="4">
        <v>12</v>
      </c>
      <c r="U37" s="3" t="s">
        <v>36</v>
      </c>
      <c r="V37" s="4">
        <v>12</v>
      </c>
      <c r="W37" s="3" t="s">
        <v>37</v>
      </c>
      <c r="X37" s="4">
        <v>8</v>
      </c>
      <c r="Y37" s="3" t="s">
        <v>36</v>
      </c>
      <c r="Z37" s="4">
        <v>10</v>
      </c>
      <c r="AA37" s="3" t="s">
        <v>36</v>
      </c>
      <c r="AB37" s="4">
        <v>10</v>
      </c>
      <c r="AC37" t="str">
        <f>_xlfn.TEXTJOIN(",",,"INSERT INTO assetList VALUES (",A37,B37,C37,F37,E37,G37,H37,I37,J37,K37,L37,N37,P37,Q37,R37,S37,T37,U37,V37,W37,X37,Y37,Z37,AA37,AB37,")")</f>
        <v>INSERT INTO assetList VALUES (,100026.1,Hotel,Hotel EMA House Suites,8.54449,47.37616,4*,Nordstrasse,1,8006,Zürich,Switzerland,SingleStandard,2021-06-10 15:00:00.000000,2021-08-19 15:00:00.000000,32,true,12,true,12,false,8,true,10,true,10,)</v>
      </c>
    </row>
    <row r="38" spans="1:39" ht="17" hidden="1" customHeight="1" x14ac:dyDescent="0.2">
      <c r="A38" s="3" t="s">
        <v>249</v>
      </c>
      <c r="B38" s="3" t="s">
        <v>27</v>
      </c>
      <c r="C38" s="3" t="s">
        <v>134</v>
      </c>
      <c r="D38" s="5">
        <v>0.84472131563495312</v>
      </c>
      <c r="E38" s="3" t="s">
        <v>48</v>
      </c>
      <c r="F38" s="3" t="s">
        <v>47</v>
      </c>
      <c r="G38" s="3" t="s">
        <v>124</v>
      </c>
      <c r="H38" s="3" t="s">
        <v>135</v>
      </c>
      <c r="I38" s="3">
        <v>1</v>
      </c>
      <c r="J38" s="3">
        <v>8006</v>
      </c>
      <c r="K38" s="3" t="s">
        <v>33</v>
      </c>
      <c r="L38" s="3" t="s">
        <v>34</v>
      </c>
      <c r="M38" s="3"/>
      <c r="N38" s="3" t="s">
        <v>53</v>
      </c>
      <c r="O38" s="3" t="s">
        <v>36</v>
      </c>
      <c r="P38" s="3" t="s">
        <v>187</v>
      </c>
      <c r="Q38" s="3" t="s">
        <v>190</v>
      </c>
      <c r="R38" s="4">
        <v>34</v>
      </c>
      <c r="S38" s="3" t="s">
        <v>36</v>
      </c>
      <c r="T38" s="4">
        <v>15</v>
      </c>
      <c r="U38" s="3" t="s">
        <v>36</v>
      </c>
      <c r="V38" s="4">
        <v>15</v>
      </c>
      <c r="W38" s="3" t="s">
        <v>37</v>
      </c>
      <c r="X38" s="4">
        <v>8</v>
      </c>
      <c r="Y38" s="3" t="s">
        <v>36</v>
      </c>
      <c r="Z38" s="4">
        <v>10</v>
      </c>
      <c r="AA38" s="3" t="s">
        <v>36</v>
      </c>
      <c r="AB38" s="4">
        <v>10</v>
      </c>
      <c r="AC38" t="str">
        <f>_xlfn.TEXTJOIN(",",,"INSERT INTO assetList VALUES (",A38,B38,C38,F38,E38,G38,H38,I38,J38,K38,L38,N38,P38,Q38,R38,S38,T38,U38,V38,W38,X38,Y38,Z38,AA38,AB38,")")</f>
        <v>INSERT INTO assetList VALUES (,100026.2,Hotel,Hotel EMA House Suites,8.54449,47.37616,4*,Nordstrasse,1,8006,Zürich,Switzerland,DoubleStandard,2021-06-10 15:00:00.000000,2021-08-19 15:00:00.000000,34,true,15,true,15,false,8,true,10,true,10,)</v>
      </c>
    </row>
    <row r="39" spans="1:39" ht="17" hidden="1" customHeight="1" x14ac:dyDescent="0.2">
      <c r="A39" s="3">
        <v>100025</v>
      </c>
      <c r="B39" s="3" t="s">
        <v>27</v>
      </c>
      <c r="C39" s="3" t="s">
        <v>130</v>
      </c>
      <c r="D39" s="5">
        <v>0.90144798583892316</v>
      </c>
      <c r="E39" s="3" t="s">
        <v>132</v>
      </c>
      <c r="F39" s="3" t="s">
        <v>131</v>
      </c>
      <c r="G39" s="3" t="s">
        <v>124</v>
      </c>
      <c r="H39" s="3" t="s">
        <v>133</v>
      </c>
      <c r="I39" s="3">
        <v>1</v>
      </c>
      <c r="J39" s="3">
        <v>8001</v>
      </c>
      <c r="K39" s="3" t="s">
        <v>33</v>
      </c>
      <c r="L39" s="3" t="s">
        <v>34</v>
      </c>
      <c r="M39" s="3"/>
      <c r="N39" s="3" t="s">
        <v>53</v>
      </c>
      <c r="O39" s="3" t="s">
        <v>36</v>
      </c>
      <c r="P39" s="3" t="s">
        <v>187</v>
      </c>
      <c r="Q39" s="3" t="s">
        <v>190</v>
      </c>
      <c r="R39" s="4">
        <v>32</v>
      </c>
      <c r="S39" s="3" t="s">
        <v>36</v>
      </c>
      <c r="T39" s="4">
        <v>15</v>
      </c>
      <c r="U39" s="3" t="s">
        <v>36</v>
      </c>
      <c r="V39" s="4">
        <v>15</v>
      </c>
      <c r="W39" s="3" t="s">
        <v>37</v>
      </c>
      <c r="X39" s="4">
        <v>8</v>
      </c>
      <c r="Y39" s="3" t="s">
        <v>36</v>
      </c>
      <c r="Z39" s="4">
        <v>10</v>
      </c>
      <c r="AA39" s="3" t="s">
        <v>36</v>
      </c>
      <c r="AB39" s="4">
        <v>10</v>
      </c>
      <c r="AC39" t="str">
        <f>_xlfn.TEXTJOIN(",",,"INSERT INTO assetList VALUES (",A39,B39,C39,F39,E39,G39,H39,I39,J39,K39,L39,N39,P39,Q39,R39,S39,T39,U39,V39,W39,X39,Y39,Z39,AA39,AB39,")")</f>
        <v>INSERT INTO assetList VALUES (,100025,Hotel,Hotel Central Plaza,8.5436,47.37703,4*,Central,1,8001,Zürich,Switzerland,DoubleStandard,2021-06-10 15:00:00.000000,2021-08-19 15:00:00.000000,32,true,15,true,15,false,8,true,10,true,10,)</v>
      </c>
    </row>
    <row r="40" spans="1:39" ht="17" hidden="1" customHeight="1" x14ac:dyDescent="0.2">
      <c r="A40" s="3">
        <v>100008</v>
      </c>
      <c r="B40" s="3" t="s">
        <v>27</v>
      </c>
      <c r="C40" s="3" t="s">
        <v>62</v>
      </c>
      <c r="D40" s="5">
        <v>1.1429262501367359</v>
      </c>
      <c r="E40" s="3" t="s">
        <v>64</v>
      </c>
      <c r="F40" s="3" t="s">
        <v>63</v>
      </c>
      <c r="G40" s="3" t="s">
        <v>31</v>
      </c>
      <c r="H40" s="3" t="s">
        <v>65</v>
      </c>
      <c r="I40" s="3">
        <v>6</v>
      </c>
      <c r="J40" s="3">
        <v>8001</v>
      </c>
      <c r="K40" s="3" t="s">
        <v>33</v>
      </c>
      <c r="L40" s="3" t="s">
        <v>34</v>
      </c>
      <c r="M40" s="3"/>
      <c r="N40" s="3" t="s">
        <v>53</v>
      </c>
      <c r="O40" s="3" t="s">
        <v>36</v>
      </c>
      <c r="P40" s="3" t="s">
        <v>184</v>
      </c>
      <c r="Q40" s="3" t="s">
        <v>189</v>
      </c>
      <c r="R40" s="4">
        <v>23</v>
      </c>
      <c r="S40" s="3" t="s">
        <v>36</v>
      </c>
      <c r="T40" s="4">
        <v>10</v>
      </c>
      <c r="U40" s="3" t="s">
        <v>36</v>
      </c>
      <c r="V40" s="4">
        <v>10</v>
      </c>
      <c r="W40" s="3" t="s">
        <v>37</v>
      </c>
      <c r="X40" s="4">
        <v>5</v>
      </c>
      <c r="Y40" s="3" t="s">
        <v>37</v>
      </c>
      <c r="Z40" s="4">
        <v>10</v>
      </c>
      <c r="AA40" s="3" t="s">
        <v>36</v>
      </c>
      <c r="AB40" s="4">
        <v>10</v>
      </c>
      <c r="AC40" t="str">
        <f>_xlfn.TEXTJOIN(",",,"INSERT INTO assetList VALUES (",A40,B40,C40,F40,E40,G40,H40,I40,J40,K40,L40,N40,P40,Q40,R40,S40,T40,U40,V40,W40,X40,Y40,Z40,AA40,AB40,")")</f>
        <v>INSERT INTO assetList VALUES (,100008,Hotel,Hotel Royal Zürich,8.54502,47.37898,3*,Leonhardstrasse,6,8001,Zürich,Switzerland,DoubleStandard,2021-06-10 13:30:00.000000,2021-06-11 12:00:00.000000,23,true,10,true,10,false,5,false,10,true,10,)</v>
      </c>
    </row>
    <row r="41" spans="1:39" ht="17" hidden="1" customHeight="1" x14ac:dyDescent="0.2">
      <c r="A41" s="3">
        <v>100011</v>
      </c>
      <c r="B41" s="3" t="s">
        <v>27</v>
      </c>
      <c r="C41" s="3" t="s">
        <v>73</v>
      </c>
      <c r="D41" s="5">
        <v>1.1669204758603688</v>
      </c>
      <c r="E41" s="3" t="s">
        <v>75</v>
      </c>
      <c r="F41" s="3" t="s">
        <v>74</v>
      </c>
      <c r="G41" s="3" t="s">
        <v>31</v>
      </c>
      <c r="H41" s="3" t="s">
        <v>65</v>
      </c>
      <c r="I41" s="3">
        <v>1</v>
      </c>
      <c r="J41" s="3">
        <v>8001</v>
      </c>
      <c r="K41" s="3" t="s">
        <v>33</v>
      </c>
      <c r="L41" s="3" t="s">
        <v>34</v>
      </c>
      <c r="M41" s="3"/>
      <c r="N41" s="3" t="s">
        <v>53</v>
      </c>
      <c r="O41" s="3" t="s">
        <v>36</v>
      </c>
      <c r="P41" s="3" t="s">
        <v>184</v>
      </c>
      <c r="Q41" s="3" t="s">
        <v>189</v>
      </c>
      <c r="R41" s="4">
        <v>25</v>
      </c>
      <c r="S41" s="3" t="s">
        <v>36</v>
      </c>
      <c r="T41" s="4">
        <v>10</v>
      </c>
      <c r="U41" s="3" t="s">
        <v>36</v>
      </c>
      <c r="V41" s="4">
        <v>10</v>
      </c>
      <c r="W41" s="3" t="s">
        <v>37</v>
      </c>
      <c r="X41" s="4">
        <v>5</v>
      </c>
      <c r="Y41" s="3" t="s">
        <v>37</v>
      </c>
      <c r="Z41" s="4">
        <v>10</v>
      </c>
      <c r="AA41" s="3" t="s">
        <v>36</v>
      </c>
      <c r="AB41" s="4">
        <v>10</v>
      </c>
      <c r="AC41" t="str">
        <f>_xlfn.TEXTJOIN(",",,"INSERT INTO assetList VALUES (",A41,B41,C41,F41,E41,G41,H41,I41,J41,K41,L41,N41,P41,Q41,R41,S41,T41,U41,V41,W41,X41,Y41,Z41,AA41,AB41,")")</f>
        <v>INSERT INTO assetList VALUES (,100011,Hotel,Hotel Leoneck Swiss Hotel,8.54514,47.37918,3*,Leonhardstrasse,1,8001,Zürich,Switzerland,DoubleStandard,2021-06-10 13:30:00.000000,2021-06-11 12:00:00.000000,25,true,10,true,10,false,5,false,10,true,10,)</v>
      </c>
    </row>
    <row r="42" spans="1:39" ht="17" customHeight="1" x14ac:dyDescent="0.2">
      <c r="A42" s="3">
        <v>100019</v>
      </c>
      <c r="B42" s="3" t="s">
        <v>27</v>
      </c>
      <c r="C42" s="3" t="s">
        <v>104</v>
      </c>
      <c r="D42" s="5">
        <v>1.1745892798686501</v>
      </c>
      <c r="E42" s="3" t="s">
        <v>106</v>
      </c>
      <c r="F42" s="3" t="s">
        <v>105</v>
      </c>
      <c r="G42" s="3" t="s">
        <v>31</v>
      </c>
      <c r="H42" s="3" t="s">
        <v>107</v>
      </c>
      <c r="I42" s="3">
        <v>34</v>
      </c>
      <c r="J42" s="3">
        <v>8006</v>
      </c>
      <c r="K42" s="3" t="s">
        <v>33</v>
      </c>
      <c r="L42" s="3" t="s">
        <v>34</v>
      </c>
      <c r="M42" s="3"/>
      <c r="N42" s="3" t="s">
        <v>103</v>
      </c>
      <c r="O42" s="3" t="s">
        <v>36</v>
      </c>
      <c r="P42" s="3" t="s">
        <v>272</v>
      </c>
      <c r="Q42" s="3" t="s">
        <v>273</v>
      </c>
      <c r="R42" s="4">
        <v>27</v>
      </c>
      <c r="S42" s="3" t="s">
        <v>36</v>
      </c>
      <c r="T42" s="4">
        <v>10</v>
      </c>
      <c r="U42" s="3" t="s">
        <v>36</v>
      </c>
      <c r="V42" s="4">
        <v>10</v>
      </c>
      <c r="W42" s="3" t="s">
        <v>36</v>
      </c>
      <c r="X42" s="4">
        <v>5</v>
      </c>
      <c r="Y42" s="3" t="s">
        <v>37</v>
      </c>
      <c r="Z42" s="4">
        <v>10</v>
      </c>
      <c r="AA42" s="3" t="s">
        <v>37</v>
      </c>
      <c r="AB42" s="4">
        <v>10</v>
      </c>
      <c r="AC42" t="str">
        <f>_xlfn.TEXTJOIN(",",,"INSERT INTO assetList VALUES (",A42,B42,C42,F42,E42,G42,H42,I42,J42,K42,L42,N42,P42,Q42,R42,S42,T42,U42,V42,W42,X42,Y42,Z42,AA42,AB42,")")</f>
        <v>INSERT INTO assetList VALUES (,100019,Hotel,Hotel Garni Bristol ,8.54349,47.37967,3*,Stampfenbachstrasse,34,8006,Zürich,Switzerland,DoubleBusiness,2021-06-11 14:00:00.000000,2021-06-12 17:00:00.000000,27,true,10,true,10,true,5,false,10,false,10,)</v>
      </c>
    </row>
    <row r="43" spans="1:39" ht="17" hidden="1" customHeight="1" x14ac:dyDescent="0.2">
      <c r="A43" s="3" t="s">
        <v>195</v>
      </c>
      <c r="B43" s="3" t="s">
        <v>27</v>
      </c>
      <c r="C43" s="3" t="s">
        <v>42</v>
      </c>
      <c r="D43" s="5">
        <v>1.1862691234051981</v>
      </c>
      <c r="E43" s="3" t="s">
        <v>44</v>
      </c>
      <c r="F43" s="3" t="s">
        <v>43</v>
      </c>
      <c r="G43" s="3" t="s">
        <v>31</v>
      </c>
      <c r="H43" s="3" t="s">
        <v>45</v>
      </c>
      <c r="I43" s="3">
        <v>26</v>
      </c>
      <c r="J43" s="3">
        <v>8032</v>
      </c>
      <c r="K43" s="3" t="s">
        <v>33</v>
      </c>
      <c r="L43" s="3" t="s">
        <v>34</v>
      </c>
      <c r="M43" s="3"/>
      <c r="N43" s="3" t="s">
        <v>161</v>
      </c>
      <c r="O43" s="3" t="s">
        <v>36</v>
      </c>
      <c r="P43" s="3" t="s">
        <v>183</v>
      </c>
      <c r="Q43" s="3" t="s">
        <v>189</v>
      </c>
      <c r="R43" s="4">
        <v>29</v>
      </c>
      <c r="S43" s="3" t="s">
        <v>36</v>
      </c>
      <c r="T43" s="4">
        <v>10</v>
      </c>
      <c r="U43" s="3" t="s">
        <v>36</v>
      </c>
      <c r="V43" s="4">
        <v>10</v>
      </c>
      <c r="W43" s="3" t="s">
        <v>37</v>
      </c>
      <c r="X43" s="4">
        <v>5</v>
      </c>
      <c r="Y43" s="3" t="s">
        <v>36</v>
      </c>
      <c r="Z43" s="4">
        <v>10</v>
      </c>
      <c r="AA43" s="3" t="s">
        <v>37</v>
      </c>
      <c r="AB43" s="4">
        <v>10</v>
      </c>
      <c r="AC43" t="str">
        <f>_xlfn.TEXTJOIN(",",,"INSERT INTO assetList VALUES (",A43,B43,C43,F43,E43,G43,H43,I43,J43,K43,L43,N43,P43,Q43,R43,S43,T43,U43,V43,W43,X43,Y43,Z43,AA43,AB43,")")</f>
        <v>INSERT INTO assetList VALUES (,100003.1,Hotel,Hotel Plattenhof,8.55302,47.3743,3*,Plattenstrasse,26,8032,Zürich,Switzerland,JuniorSuite,2021-06-10 13:00:00.000000,2021-06-11 12:00:00.000000,29,true,10,true,10,false,5,true,10,false,10,)</v>
      </c>
    </row>
    <row r="44" spans="1:39" ht="17" hidden="1" customHeight="1" x14ac:dyDescent="0.2">
      <c r="A44" s="3" t="s">
        <v>200</v>
      </c>
      <c r="B44" s="3" t="s">
        <v>27</v>
      </c>
      <c r="C44" s="3" t="s">
        <v>42</v>
      </c>
      <c r="D44" s="5">
        <v>1.1862691234051981</v>
      </c>
      <c r="E44" s="3" t="s">
        <v>44</v>
      </c>
      <c r="F44" s="3" t="s">
        <v>43</v>
      </c>
      <c r="G44" s="3" t="s">
        <v>31</v>
      </c>
      <c r="H44" s="3" t="s">
        <v>45</v>
      </c>
      <c r="I44" s="3">
        <v>26</v>
      </c>
      <c r="J44" s="3">
        <v>8032</v>
      </c>
      <c r="K44" s="3" t="s">
        <v>33</v>
      </c>
      <c r="L44" s="3" t="s">
        <v>34</v>
      </c>
      <c r="M44" s="3"/>
      <c r="N44" s="3" t="s">
        <v>174</v>
      </c>
      <c r="O44" s="3" t="s">
        <v>36</v>
      </c>
      <c r="P44" s="3" t="s">
        <v>183</v>
      </c>
      <c r="Q44" s="3" t="s">
        <v>189</v>
      </c>
      <c r="R44" s="4">
        <v>20</v>
      </c>
      <c r="S44" s="3" t="s">
        <v>36</v>
      </c>
      <c r="T44" s="4">
        <v>10</v>
      </c>
      <c r="U44" s="3" t="s">
        <v>36</v>
      </c>
      <c r="V44" s="4">
        <v>10</v>
      </c>
      <c r="W44" s="3" t="s">
        <v>37</v>
      </c>
      <c r="X44" s="4">
        <v>5</v>
      </c>
      <c r="Y44" s="3" t="s">
        <v>36</v>
      </c>
      <c r="Z44" s="4">
        <v>10</v>
      </c>
      <c r="AA44" s="3" t="s">
        <v>36</v>
      </c>
      <c r="AB44" s="4">
        <v>10</v>
      </c>
      <c r="AC44" t="str">
        <f>_xlfn.TEXTJOIN(",",,"INSERT INTO assetList VALUES (",A44,B44,C44,F44,E44,G44,H44,I44,J44,K44,L44,N44,P44,Q44,R44,S44,T44,U44,V44,W44,X44,Y44,Z44,AA44,AB44,")")</f>
        <v>INSERT INTO assetList VALUES (,100003.2,Hotel,Hotel Plattenhof,8.55302,47.3743,3*,Plattenstrasse,26,8032,Zürich,Switzerland,"SingelBusiness",2021-06-10 13:00:00.000000,2021-06-11 12:00:00.000000,20,true,10,true,10,false,5,true,10,true,10,)</v>
      </c>
    </row>
    <row r="45" spans="1:39" ht="17" customHeight="1" x14ac:dyDescent="0.2">
      <c r="A45" s="3">
        <v>100016</v>
      </c>
      <c r="B45" s="3" t="s">
        <v>27</v>
      </c>
      <c r="C45" s="3" t="s">
        <v>92</v>
      </c>
      <c r="D45" s="5">
        <v>1.1970850881676145</v>
      </c>
      <c r="E45" s="3" t="s">
        <v>94</v>
      </c>
      <c r="F45" s="3" t="s">
        <v>93</v>
      </c>
      <c r="G45" s="3" t="s">
        <v>31</v>
      </c>
      <c r="H45" s="3" t="s">
        <v>95</v>
      </c>
      <c r="I45" s="3">
        <v>5</v>
      </c>
      <c r="J45" s="3">
        <v>8005</v>
      </c>
      <c r="K45" s="3" t="s">
        <v>33</v>
      </c>
      <c r="L45" s="3" t="s">
        <v>34</v>
      </c>
      <c r="M45" s="3"/>
      <c r="N45" s="3" t="s">
        <v>53</v>
      </c>
      <c r="O45" s="3" t="s">
        <v>36</v>
      </c>
      <c r="P45" s="3" t="s">
        <v>272</v>
      </c>
      <c r="Q45" s="3" t="s">
        <v>273</v>
      </c>
      <c r="R45" s="4">
        <v>25</v>
      </c>
      <c r="S45" s="3" t="s">
        <v>36</v>
      </c>
      <c r="T45" s="4">
        <v>10</v>
      </c>
      <c r="U45" s="3" t="s">
        <v>36</v>
      </c>
      <c r="V45" s="4">
        <v>10</v>
      </c>
      <c r="W45" s="3" t="s">
        <v>36</v>
      </c>
      <c r="X45" s="4">
        <v>5</v>
      </c>
      <c r="Y45" s="3" t="s">
        <v>37</v>
      </c>
      <c r="Z45" s="4">
        <v>10</v>
      </c>
      <c r="AA45" s="3" t="s">
        <v>37</v>
      </c>
      <c r="AB45" s="4">
        <v>10</v>
      </c>
      <c r="AC45" t="str">
        <f>_xlfn.TEXTJOIN(",",,"INSERT INTO assetList VALUES (",A45,B45,C45,F45,E45,G45,H45,I45,J45,K45,L45,N45,P45,Q45,R45,S45,T45,U45,V45,W45,X45,Y45,Z45,AA45,AB45,")")</f>
        <v>INSERT INTO assetList VALUES (,100016,Hotel,Hotel Walhalla Zürich,8.53721,47.38028,3*,Limmatstrasse,5,8005,Zürich,Switzerland,DoubleStandard,2021-06-11 14:00:00.000000,2021-06-12 17:00:00.000000,25,true,10,true,10,true,5,false,10,false,10,)</v>
      </c>
    </row>
    <row r="46" spans="1:39" ht="17" hidden="1" customHeight="1" x14ac:dyDescent="0.2">
      <c r="A46" s="3">
        <v>100034</v>
      </c>
      <c r="B46" s="3" t="s">
        <v>27</v>
      </c>
      <c r="C46" s="3" t="s">
        <v>162</v>
      </c>
      <c r="D46" s="5">
        <v>1.4477346224215191</v>
      </c>
      <c r="E46" s="3" t="s">
        <v>163</v>
      </c>
      <c r="F46" s="3" t="s">
        <v>127</v>
      </c>
      <c r="G46" s="3" t="s">
        <v>118</v>
      </c>
      <c r="H46" s="3" t="s">
        <v>164</v>
      </c>
      <c r="I46" s="3">
        <v>42</v>
      </c>
      <c r="J46" s="3">
        <v>8006</v>
      </c>
      <c r="K46" s="3" t="s">
        <v>33</v>
      </c>
      <c r="L46" s="3" t="s">
        <v>34</v>
      </c>
      <c r="M46" s="3"/>
      <c r="N46" s="3" t="s">
        <v>161</v>
      </c>
      <c r="O46" s="3" t="s">
        <v>36</v>
      </c>
      <c r="P46" s="3" t="s">
        <v>188</v>
      </c>
      <c r="Q46" s="3" t="s">
        <v>190</v>
      </c>
      <c r="R46" s="4">
        <v>40</v>
      </c>
      <c r="S46" s="3" t="s">
        <v>36</v>
      </c>
      <c r="T46" s="4">
        <v>15</v>
      </c>
      <c r="U46" s="3" t="s">
        <v>36</v>
      </c>
      <c r="V46" s="4">
        <v>15</v>
      </c>
      <c r="W46" s="3" t="s">
        <v>36</v>
      </c>
      <c r="X46" s="4">
        <v>8</v>
      </c>
      <c r="Y46" s="3" t="s">
        <v>36</v>
      </c>
      <c r="Z46" s="4">
        <v>10</v>
      </c>
      <c r="AA46" s="3" t="s">
        <v>36</v>
      </c>
      <c r="AB46" s="4">
        <v>10</v>
      </c>
      <c r="AC46" t="str">
        <f>_xlfn.TEXTJOIN(",",,"INSERT INTO assetList VALUES (",A46,B46,C46,F46,E46,G46,H46,I46,J46,K46,L46,N46,P46,Q46,R46,S46,T46,U46,V46,W46,X46,Y46,Z46,AA46,AB46,")")</f>
        <v>INSERT INTO assetList VALUES (,100034,Hotel,Hotel Marriott Zürich,8.54066,47.38254,5*,Neumühlequai,42,8006,Zürich,Switzerland,JuniorSuite,2021-06-10 16:00:00.000000,2021-08-19 15:00:00.000000,40,true,15,true,15,true,8,true,10,true,10,)</v>
      </c>
    </row>
    <row r="47" spans="1:39" ht="17" hidden="1" customHeight="1" x14ac:dyDescent="0.2">
      <c r="A47" s="3" t="s">
        <v>203</v>
      </c>
      <c r="B47" s="3" t="s">
        <v>27</v>
      </c>
      <c r="C47" s="3" t="s">
        <v>202</v>
      </c>
      <c r="D47" s="5">
        <v>63.061287434949634</v>
      </c>
      <c r="E47" s="3">
        <v>47.421420500000004</v>
      </c>
      <c r="F47" s="3">
        <v>9.3731755999999997</v>
      </c>
      <c r="G47" s="3" t="s">
        <v>124</v>
      </c>
      <c r="H47" s="3" t="s">
        <v>204</v>
      </c>
      <c r="I47" s="3">
        <v>2</v>
      </c>
      <c r="J47" s="3">
        <v>9000</v>
      </c>
      <c r="K47" s="3" t="s">
        <v>205</v>
      </c>
      <c r="L47" s="3" t="s">
        <v>34</v>
      </c>
      <c r="N47" s="3" t="s">
        <v>161</v>
      </c>
      <c r="O47" s="3" t="s">
        <v>36</v>
      </c>
      <c r="P47" s="3" t="s">
        <v>188</v>
      </c>
      <c r="Q47" s="3" t="s">
        <v>190</v>
      </c>
      <c r="R47" s="6">
        <v>50</v>
      </c>
      <c r="S47" s="7" t="s">
        <v>36</v>
      </c>
      <c r="T47" s="6">
        <v>15</v>
      </c>
      <c r="U47" s="7" t="s">
        <v>36</v>
      </c>
      <c r="V47" s="6">
        <v>15</v>
      </c>
      <c r="W47" s="7" t="s">
        <v>36</v>
      </c>
      <c r="X47" s="6">
        <v>8</v>
      </c>
      <c r="Y47" s="7" t="s">
        <v>36</v>
      </c>
      <c r="Z47" s="6">
        <v>10</v>
      </c>
      <c r="AA47" s="7" t="s">
        <v>36</v>
      </c>
      <c r="AB47" s="6">
        <v>10</v>
      </c>
      <c r="AC47" s="8" t="s">
        <v>206</v>
      </c>
      <c r="AD47" s="8"/>
      <c r="AE47" s="8"/>
      <c r="AF47" s="8"/>
      <c r="AG47" s="8"/>
      <c r="AM47" s="8"/>
    </row>
    <row r="48" spans="1:39" ht="17" hidden="1" customHeight="1" x14ac:dyDescent="0.2">
      <c r="A48" s="3" t="s">
        <v>213</v>
      </c>
      <c r="B48" s="3" t="s">
        <v>27</v>
      </c>
      <c r="C48" s="3" t="s">
        <v>250</v>
      </c>
      <c r="D48" s="5">
        <v>63.276735240957798</v>
      </c>
      <c r="E48" s="3" t="s">
        <v>211</v>
      </c>
      <c r="F48" s="3" t="s">
        <v>214</v>
      </c>
      <c r="G48" s="3" t="s">
        <v>31</v>
      </c>
      <c r="H48" s="3" t="s">
        <v>215</v>
      </c>
      <c r="I48" s="3" t="s">
        <v>216</v>
      </c>
      <c r="J48" s="3">
        <v>9000</v>
      </c>
      <c r="K48" s="3" t="s">
        <v>205</v>
      </c>
      <c r="L48" s="3" t="s">
        <v>34</v>
      </c>
      <c r="N48" s="3" t="s">
        <v>53</v>
      </c>
      <c r="O48" s="3" t="s">
        <v>36</v>
      </c>
      <c r="P48" s="3" t="s">
        <v>188</v>
      </c>
      <c r="Q48" s="3" t="s">
        <v>190</v>
      </c>
      <c r="R48" s="6">
        <v>35</v>
      </c>
      <c r="S48" s="7" t="s">
        <v>36</v>
      </c>
      <c r="T48" s="6">
        <v>10</v>
      </c>
      <c r="U48" s="7" t="s">
        <v>36</v>
      </c>
      <c r="V48" s="6">
        <v>10</v>
      </c>
      <c r="W48" s="7" t="s">
        <v>36</v>
      </c>
      <c r="X48" s="6">
        <v>8</v>
      </c>
      <c r="Y48" s="7" t="s">
        <v>36</v>
      </c>
      <c r="Z48" s="6">
        <v>8</v>
      </c>
      <c r="AA48" s="7" t="s">
        <v>36</v>
      </c>
      <c r="AB48" s="6">
        <v>10</v>
      </c>
      <c r="AC48" s="8" t="s">
        <v>206</v>
      </c>
      <c r="AD48" s="8"/>
      <c r="AE48" s="8"/>
      <c r="AF48" s="8"/>
      <c r="AG48" s="8"/>
      <c r="AM48" s="8"/>
    </row>
    <row r="49" spans="1:47" ht="17" hidden="1" customHeight="1" x14ac:dyDescent="0.2">
      <c r="A49" s="3" t="s">
        <v>208</v>
      </c>
      <c r="B49" s="3" t="s">
        <v>27</v>
      </c>
      <c r="C49" s="3" t="s">
        <v>207</v>
      </c>
      <c r="D49" s="5">
        <v>63.440990312097107</v>
      </c>
      <c r="E49" s="3" t="s">
        <v>211</v>
      </c>
      <c r="F49" s="3" t="s">
        <v>212</v>
      </c>
      <c r="G49" s="3" t="s">
        <v>124</v>
      </c>
      <c r="H49" s="3" t="s">
        <v>209</v>
      </c>
      <c r="I49" s="3" t="s">
        <v>210</v>
      </c>
      <c r="J49" s="3">
        <v>9000</v>
      </c>
      <c r="K49" s="3" t="s">
        <v>205</v>
      </c>
      <c r="L49" s="3" t="s">
        <v>34</v>
      </c>
      <c r="N49" s="3" t="s">
        <v>161</v>
      </c>
      <c r="O49" s="3" t="s">
        <v>36</v>
      </c>
      <c r="P49" s="3" t="s">
        <v>188</v>
      </c>
      <c r="Q49" s="3" t="s">
        <v>190</v>
      </c>
      <c r="R49" s="6">
        <v>50</v>
      </c>
      <c r="S49" s="7" t="s">
        <v>36</v>
      </c>
      <c r="T49" s="6">
        <v>15</v>
      </c>
      <c r="U49" s="7" t="s">
        <v>36</v>
      </c>
      <c r="V49" s="6">
        <v>15</v>
      </c>
      <c r="W49" s="7" t="s">
        <v>36</v>
      </c>
      <c r="X49" s="6">
        <v>8</v>
      </c>
      <c r="Y49" s="7" t="s">
        <v>36</v>
      </c>
      <c r="Z49" s="6">
        <v>10</v>
      </c>
      <c r="AA49" s="7" t="s">
        <v>36</v>
      </c>
      <c r="AB49" s="6">
        <v>8</v>
      </c>
      <c r="AC49" s="8" t="s">
        <v>206</v>
      </c>
      <c r="AD49" s="8"/>
      <c r="AE49" s="8"/>
      <c r="AF49" s="8"/>
      <c r="AG49" s="8"/>
      <c r="AH49" s="8"/>
    </row>
    <row r="50" spans="1:47" ht="17" hidden="1" customHeight="1" x14ac:dyDescent="0.2">
      <c r="A50" s="3" t="s">
        <v>218</v>
      </c>
      <c r="B50" s="3" t="s">
        <v>27</v>
      </c>
      <c r="C50" t="s">
        <v>217</v>
      </c>
      <c r="D50" s="5">
        <v>75.152244669017222</v>
      </c>
      <c r="E50" s="3" t="s">
        <v>219</v>
      </c>
      <c r="F50" s="3" t="s">
        <v>220</v>
      </c>
      <c r="G50" s="3" t="s">
        <v>118</v>
      </c>
      <c r="H50" t="s">
        <v>222</v>
      </c>
      <c r="I50" s="3" t="s">
        <v>120</v>
      </c>
      <c r="J50" s="3" t="s">
        <v>223</v>
      </c>
      <c r="K50" s="3" t="s">
        <v>221</v>
      </c>
      <c r="L50" s="3" t="s">
        <v>34</v>
      </c>
      <c r="N50" s="3" t="s">
        <v>35</v>
      </c>
      <c r="O50" s="3" t="s">
        <v>36</v>
      </c>
      <c r="P50" s="3" t="s">
        <v>188</v>
      </c>
      <c r="Q50" s="3" t="s">
        <v>190</v>
      </c>
      <c r="R50" s="6">
        <v>60</v>
      </c>
      <c r="S50" s="7" t="s">
        <v>36</v>
      </c>
      <c r="T50" s="6">
        <v>20</v>
      </c>
      <c r="U50" s="7" t="s">
        <v>36</v>
      </c>
      <c r="V50" s="6">
        <v>20</v>
      </c>
      <c r="W50" s="7" t="s">
        <v>36</v>
      </c>
      <c r="X50" s="6">
        <v>12</v>
      </c>
      <c r="Y50" s="7" t="s">
        <v>36</v>
      </c>
      <c r="Z50" s="6">
        <v>12</v>
      </c>
      <c r="AA50" s="7" t="s">
        <v>36</v>
      </c>
      <c r="AB50" s="6">
        <v>10</v>
      </c>
      <c r="AC50" s="8" t="s">
        <v>206</v>
      </c>
      <c r="AD50" s="8"/>
      <c r="AE50" s="8"/>
      <c r="AF50" s="8"/>
      <c r="AG50" s="8"/>
      <c r="AH50" s="8"/>
    </row>
    <row r="51" spans="1:47" ht="17" hidden="1" customHeight="1" x14ac:dyDescent="0.2">
      <c r="A51" s="3" t="s">
        <v>237</v>
      </c>
      <c r="B51" s="3" t="s">
        <v>27</v>
      </c>
      <c r="C51" t="s">
        <v>224</v>
      </c>
      <c r="D51" s="5">
        <v>75.152244669017222</v>
      </c>
      <c r="E51" s="3" t="s">
        <v>219</v>
      </c>
      <c r="F51" s="3" t="s">
        <v>220</v>
      </c>
      <c r="G51" s="3" t="s">
        <v>124</v>
      </c>
      <c r="H51" t="s">
        <v>225</v>
      </c>
      <c r="I51" s="3" t="s">
        <v>226</v>
      </c>
      <c r="J51" s="3" t="s">
        <v>223</v>
      </c>
      <c r="K51" s="3" t="s">
        <v>221</v>
      </c>
      <c r="L51" s="3" t="s">
        <v>34</v>
      </c>
      <c r="N51" s="3" t="s">
        <v>35</v>
      </c>
      <c r="O51" s="3" t="s">
        <v>36</v>
      </c>
      <c r="P51" s="3" t="s">
        <v>188</v>
      </c>
      <c r="Q51" s="3" t="s">
        <v>190</v>
      </c>
      <c r="R51" s="6">
        <v>40</v>
      </c>
      <c r="S51" s="7" t="s">
        <v>36</v>
      </c>
      <c r="T51" s="6">
        <v>15</v>
      </c>
      <c r="U51" s="7" t="s">
        <v>36</v>
      </c>
      <c r="V51" s="6">
        <v>10</v>
      </c>
      <c r="W51" s="7" t="s">
        <v>36</v>
      </c>
      <c r="X51" s="6">
        <v>10</v>
      </c>
      <c r="Y51" s="7" t="s">
        <v>36</v>
      </c>
      <c r="Z51" s="6">
        <v>10</v>
      </c>
      <c r="AA51" s="7" t="s">
        <v>36</v>
      </c>
      <c r="AB51" s="6">
        <v>10</v>
      </c>
      <c r="AC51" s="8" t="s">
        <v>206</v>
      </c>
      <c r="AD51" s="8"/>
      <c r="AE51" s="8"/>
      <c r="AF51" s="8"/>
      <c r="AG51" s="8"/>
      <c r="AH51" s="8"/>
    </row>
    <row r="52" spans="1:47" ht="17" hidden="1" customHeight="1" x14ac:dyDescent="0.2">
      <c r="A52" s="3" t="s">
        <v>228</v>
      </c>
      <c r="B52" s="3" t="s">
        <v>27</v>
      </c>
      <c r="C52" t="s">
        <v>227</v>
      </c>
      <c r="D52" s="5">
        <v>95.064400856994112</v>
      </c>
      <c r="E52" s="3" t="s">
        <v>239</v>
      </c>
      <c r="F52" s="3" t="s">
        <v>240</v>
      </c>
      <c r="G52" s="3" t="s">
        <v>118</v>
      </c>
      <c r="H52" t="s">
        <v>230</v>
      </c>
      <c r="I52" s="3" t="s">
        <v>231</v>
      </c>
      <c r="J52" s="3" t="s">
        <v>232</v>
      </c>
      <c r="K52" s="3" t="s">
        <v>229</v>
      </c>
      <c r="L52" s="3" t="s">
        <v>34</v>
      </c>
      <c r="N52" s="3" t="s">
        <v>161</v>
      </c>
      <c r="O52" s="3" t="s">
        <v>36</v>
      </c>
      <c r="P52" s="3" t="s">
        <v>188</v>
      </c>
      <c r="Q52" s="3" t="s">
        <v>190</v>
      </c>
      <c r="R52" s="6">
        <v>60</v>
      </c>
      <c r="S52" s="7" t="s">
        <v>36</v>
      </c>
      <c r="T52" s="6">
        <v>18</v>
      </c>
      <c r="U52" s="7" t="s">
        <v>36</v>
      </c>
      <c r="V52" s="6">
        <v>14</v>
      </c>
      <c r="W52" s="7" t="s">
        <v>36</v>
      </c>
      <c r="X52" s="6">
        <v>12</v>
      </c>
      <c r="Y52" s="7" t="s">
        <v>36</v>
      </c>
      <c r="Z52" s="6">
        <v>12</v>
      </c>
      <c r="AA52" s="7" t="s">
        <v>36</v>
      </c>
      <c r="AB52" s="6">
        <v>15</v>
      </c>
      <c r="AC52" s="8" t="s">
        <v>206</v>
      </c>
      <c r="AD52" s="8"/>
      <c r="AE52" s="8"/>
      <c r="AF52" s="8"/>
      <c r="AG52" s="8"/>
      <c r="AH52" s="8"/>
    </row>
    <row r="53" spans="1:47" ht="17" hidden="1" customHeight="1" x14ac:dyDescent="0.2">
      <c r="A53" s="3" t="s">
        <v>236</v>
      </c>
      <c r="B53" s="3" t="s">
        <v>27</v>
      </c>
      <c r="C53" t="s">
        <v>234</v>
      </c>
      <c r="D53" s="5">
        <v>95.064400856994112</v>
      </c>
      <c r="E53" s="3" t="s">
        <v>239</v>
      </c>
      <c r="F53" s="3" t="s">
        <v>240</v>
      </c>
      <c r="G53" s="3" t="s">
        <v>124</v>
      </c>
      <c r="H53" t="s">
        <v>235</v>
      </c>
      <c r="I53" s="3" t="s">
        <v>231</v>
      </c>
      <c r="J53" s="3" t="s">
        <v>232</v>
      </c>
      <c r="K53" s="3" t="s">
        <v>229</v>
      </c>
      <c r="L53" s="3" t="s">
        <v>34</v>
      </c>
      <c r="N53" s="3" t="s">
        <v>174</v>
      </c>
      <c r="O53" s="3" t="s">
        <v>36</v>
      </c>
      <c r="P53" s="3" t="s">
        <v>188</v>
      </c>
      <c r="Q53" s="3" t="s">
        <v>190</v>
      </c>
      <c r="R53" s="6">
        <v>45</v>
      </c>
      <c r="S53" s="7" t="s">
        <v>36</v>
      </c>
      <c r="T53" s="6">
        <v>12</v>
      </c>
      <c r="U53" s="7" t="s">
        <v>36</v>
      </c>
      <c r="V53" s="6">
        <v>10</v>
      </c>
      <c r="W53" s="7" t="s">
        <v>36</v>
      </c>
      <c r="X53" s="6">
        <v>10</v>
      </c>
      <c r="Y53" s="7" t="s">
        <v>36</v>
      </c>
      <c r="Z53" s="6">
        <v>12</v>
      </c>
      <c r="AA53" s="7" t="s">
        <v>36</v>
      </c>
      <c r="AB53" s="6">
        <v>10</v>
      </c>
      <c r="AC53" s="8" t="s">
        <v>206</v>
      </c>
      <c r="AD53" s="8"/>
      <c r="AE53" s="8"/>
      <c r="AF53" s="8"/>
      <c r="AG53" s="8"/>
      <c r="AH53" s="8"/>
    </row>
    <row r="54" spans="1:47" ht="17" hidden="1" customHeight="1" x14ac:dyDescent="0.2">
      <c r="A54" s="3" t="s">
        <v>236</v>
      </c>
      <c r="B54" s="3" t="s">
        <v>27</v>
      </c>
      <c r="C54" t="s">
        <v>238</v>
      </c>
      <c r="D54" s="5">
        <v>95.064400856994112</v>
      </c>
      <c r="E54" s="3" t="s">
        <v>239</v>
      </c>
      <c r="F54" s="3" t="s">
        <v>240</v>
      </c>
      <c r="G54" s="3" t="s">
        <v>124</v>
      </c>
      <c r="H54" t="s">
        <v>241</v>
      </c>
      <c r="I54" s="3" t="s">
        <v>242</v>
      </c>
      <c r="J54" s="3" t="s">
        <v>232</v>
      </c>
      <c r="K54" s="3" t="s">
        <v>229</v>
      </c>
      <c r="L54" s="3" t="s">
        <v>34</v>
      </c>
      <c r="N54" s="3" t="s">
        <v>174</v>
      </c>
      <c r="O54" s="3" t="s">
        <v>36</v>
      </c>
      <c r="P54" s="3" t="s">
        <v>188</v>
      </c>
      <c r="Q54" s="3" t="s">
        <v>190</v>
      </c>
      <c r="R54" s="6">
        <v>42</v>
      </c>
      <c r="S54" s="7" t="s">
        <v>36</v>
      </c>
      <c r="T54" s="6">
        <v>10</v>
      </c>
      <c r="U54" s="7" t="s">
        <v>36</v>
      </c>
      <c r="V54" s="6">
        <v>10</v>
      </c>
      <c r="W54" s="7" t="s">
        <v>36</v>
      </c>
      <c r="X54" s="6">
        <v>10</v>
      </c>
      <c r="Y54" s="7" t="s">
        <v>36</v>
      </c>
      <c r="Z54" s="6">
        <v>12</v>
      </c>
      <c r="AA54" s="7" t="s">
        <v>36</v>
      </c>
      <c r="AB54" s="6">
        <v>10</v>
      </c>
      <c r="AC54" s="8" t="s">
        <v>206</v>
      </c>
      <c r="AD54" s="8"/>
      <c r="AE54" s="8"/>
      <c r="AF54" s="8"/>
      <c r="AG54" s="8"/>
      <c r="AH54" s="8"/>
    </row>
    <row r="55" spans="1:47" ht="17" customHeight="1" x14ac:dyDescent="0.2">
      <c r="B55" s="2" t="s">
        <v>233</v>
      </c>
      <c r="C55" s="11"/>
      <c r="D55" s="11"/>
      <c r="G55" s="3"/>
    </row>
    <row r="57" spans="1:47" ht="17" customHeight="1" x14ac:dyDescent="0.2">
      <c r="AH57" s="1" t="s">
        <v>251</v>
      </c>
      <c r="AI57" s="1" t="s">
        <v>257</v>
      </c>
      <c r="AJ57" s="1" t="s">
        <v>14</v>
      </c>
      <c r="AK57" s="1" t="s">
        <v>15</v>
      </c>
    </row>
    <row r="58" spans="1:47" ht="17" customHeight="1" x14ac:dyDescent="0.2">
      <c r="AH58" s="3" t="s">
        <v>252</v>
      </c>
      <c r="AI58" s="3" t="s">
        <v>258</v>
      </c>
      <c r="AJ58" s="3" t="s">
        <v>185</v>
      </c>
      <c r="AK58" s="3" t="s">
        <v>188</v>
      </c>
    </row>
    <row r="59" spans="1:47" ht="17" customHeight="1" x14ac:dyDescent="0.2">
      <c r="AH59" s="12" t="s">
        <v>253</v>
      </c>
      <c r="AI59" s="13" t="s">
        <v>259</v>
      </c>
      <c r="AJ59" s="12" t="s">
        <v>272</v>
      </c>
      <c r="AK59" s="12" t="s">
        <v>266</v>
      </c>
    </row>
    <row r="60" spans="1:47" ht="17" customHeight="1" x14ac:dyDescent="0.2">
      <c r="AH60" s="3" t="s">
        <v>254</v>
      </c>
      <c r="AI60" t="s">
        <v>260</v>
      </c>
      <c r="AJ60" s="3" t="s">
        <v>187</v>
      </c>
      <c r="AK60" s="3" t="s">
        <v>269</v>
      </c>
    </row>
    <row r="61" spans="1:47" ht="17" customHeight="1" x14ac:dyDescent="0.2">
      <c r="AE61" s="3"/>
      <c r="AH61" s="3" t="s">
        <v>255</v>
      </c>
      <c r="AI61" t="s">
        <v>261</v>
      </c>
      <c r="AJ61" s="3" t="s">
        <v>274</v>
      </c>
      <c r="AK61" s="3" t="s">
        <v>270</v>
      </c>
      <c r="AL61" s="3"/>
      <c r="AN61" s="3"/>
      <c r="AQ61" s="3"/>
      <c r="AR61" s="3"/>
      <c r="AS61" s="3"/>
      <c r="AT61" s="3"/>
      <c r="AU61" s="3"/>
    </row>
    <row r="62" spans="1:47" ht="17" customHeight="1" x14ac:dyDescent="0.2">
      <c r="AH62" s="3" t="s">
        <v>256</v>
      </c>
      <c r="AI62" t="s">
        <v>262</v>
      </c>
      <c r="AJ62" s="3" t="s">
        <v>268</v>
      </c>
      <c r="AK62" s="3" t="s">
        <v>184</v>
      </c>
    </row>
  </sheetData>
  <autoFilter ref="A1:AA55" xr:uid="{A21A5BE7-7AB7-E348-8D96-1F0445CCAA25}">
    <filterColumn colId="15">
      <filters blank="1">
        <filter val="2021-06-11 14:00:00.000000"/>
      </filters>
    </filterColumn>
    <sortState xmlns:xlrd2="http://schemas.microsoft.com/office/spreadsheetml/2017/richdata2" ref="A2:AA55">
      <sortCondition ref="D1:D55"/>
    </sortState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BBC7AFA-DCA6-2C4B-9EF4-A59F087A470F}">
          <x14:formula1>
            <xm:f>'Host Variablen'!$A$2:$A$5</xm:f>
          </x14:formula1>
          <xm:sqref>B2:B46</xm:sqref>
        </x14:dataValidation>
        <x14:dataValidation type="list" allowBlank="1" showInputMessage="1" showErrorMessage="1" xr:uid="{0B723226-CAEB-C442-A605-5709C0A37204}">
          <x14:formula1>
            <xm:f>'Host Variablen'!$B$2:$B$3</xm:f>
          </x14:formula1>
          <xm:sqref>O2:O54 Y2:Y46 S2:S46 U2:U46 W2:W46 AA2:AA46</xm:sqref>
        </x14:dataValidation>
        <x14:dataValidation type="list" allowBlank="1" showInputMessage="1" showErrorMessage="1" xr:uid="{219CF79F-6456-B643-BF30-0F170BA7E044}">
          <x14:formula1>
            <xm:f>'Host Variablen'!$D$2:$D$7</xm:f>
          </x14:formula1>
          <xm:sqref>N2:N54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B6A9-8563-8041-BD1A-A57395C69D46}">
  <sheetPr codeName="Sheet15" filterMode="1"/>
  <dimension ref="A1:AU62"/>
  <sheetViews>
    <sheetView workbookViewId="0">
      <selection activeCell="A4" sqref="A4:D43"/>
    </sheetView>
  </sheetViews>
  <sheetFormatPr baseColWidth="10" defaultColWidth="11.5" defaultRowHeight="17" customHeight="1" x14ac:dyDescent="0.2"/>
  <cols>
    <col min="1" max="1" width="8.6640625" bestFit="1" customWidth="1"/>
    <col min="2" max="2" width="29.5" bestFit="1" customWidth="1"/>
    <col min="3" max="4" width="29.5" style="5" customWidth="1"/>
    <col min="5" max="5" width="10.6640625" hidden="1" customWidth="1"/>
    <col min="6" max="6" width="11.5" hidden="1" customWidth="1"/>
    <col min="7" max="7" width="14" hidden="1" customWidth="1"/>
    <col min="8" max="8" width="17.1640625" hidden="1" customWidth="1"/>
    <col min="9" max="9" width="10.6640625" hidden="1" customWidth="1"/>
    <col min="10" max="10" width="6" hidden="1" customWidth="1"/>
    <col min="11" max="11" width="8.33203125" hidden="1" customWidth="1"/>
    <col min="12" max="12" width="10" hidden="1" customWidth="1"/>
    <col min="13" max="13" width="11.83203125" hidden="1" customWidth="1"/>
    <col min="14" max="14" width="15" hidden="1" customWidth="1"/>
    <col min="15" max="15" width="20.6640625" hidden="1" customWidth="1"/>
    <col min="16" max="17" width="24.33203125" bestFit="1" customWidth="1"/>
    <col min="18" max="18" width="17.33203125" style="4" hidden="1" customWidth="1"/>
    <col min="19" max="19" width="12.83203125" hidden="1" customWidth="1"/>
    <col min="20" max="20" width="8.1640625" style="4" hidden="1" customWidth="1"/>
    <col min="21" max="21" width="13.33203125" hidden="1" customWidth="1"/>
    <col min="22" max="22" width="12.5" style="4" hidden="1" customWidth="1"/>
    <col min="23" max="23" width="15.5" hidden="1" customWidth="1"/>
    <col min="24" max="24" width="14.6640625" style="4" hidden="1" customWidth="1"/>
    <col min="25" max="25" width="4.6640625" hidden="1" customWidth="1"/>
    <col min="26" max="26" width="8.6640625" style="4" hidden="1" customWidth="1"/>
    <col min="27" max="27" width="4.5" hidden="1" customWidth="1"/>
    <col min="28" max="28" width="7.83203125" style="4" hidden="1" customWidth="1"/>
    <col min="29" max="29" width="211" hidden="1" customWidth="1"/>
    <col min="30" max="30" width="0" hidden="1" customWidth="1"/>
    <col min="31" max="31" width="6.33203125" bestFit="1" customWidth="1"/>
    <col min="32" max="32" width="8.33203125" bestFit="1" customWidth="1"/>
    <col min="33" max="33" width="6.33203125" bestFit="1" customWidth="1"/>
    <col min="34" max="34" width="9.1640625" bestFit="1" customWidth="1"/>
    <col min="35" max="38" width="24.33203125" bestFit="1" customWidth="1"/>
    <col min="41" max="42" width="13.5" bestFit="1" customWidth="1"/>
  </cols>
  <sheetData>
    <row r="1" spans="1:33" ht="17" customHeight="1" x14ac:dyDescent="0.2">
      <c r="A1" s="1" t="s">
        <v>0</v>
      </c>
      <c r="B1" s="1" t="s">
        <v>2</v>
      </c>
      <c r="C1" s="10"/>
      <c r="D1" s="10" t="s">
        <v>275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33" ht="17" hidden="1" customHeight="1" x14ac:dyDescent="0.2">
      <c r="A2" s="3">
        <v>100033</v>
      </c>
      <c r="B2" s="3" t="s">
        <v>27</v>
      </c>
      <c r="C2" s="3" t="s">
        <v>158</v>
      </c>
      <c r="D2" s="5">
        <v>5.7634202382899263E-2</v>
      </c>
      <c r="E2" s="3" t="s">
        <v>159</v>
      </c>
      <c r="F2" s="3" t="s">
        <v>39</v>
      </c>
      <c r="G2" s="3" t="s">
        <v>124</v>
      </c>
      <c r="H2" s="3" t="s">
        <v>160</v>
      </c>
      <c r="I2" s="3">
        <v>17</v>
      </c>
      <c r="J2" s="3">
        <v>8001</v>
      </c>
      <c r="K2" s="3" t="s">
        <v>33</v>
      </c>
      <c r="L2" s="3" t="s">
        <v>34</v>
      </c>
      <c r="M2" s="3"/>
      <c r="N2" s="3" t="s">
        <v>161</v>
      </c>
      <c r="O2" s="3" t="s">
        <v>36</v>
      </c>
      <c r="P2" s="3" t="s">
        <v>188</v>
      </c>
      <c r="Q2" s="3" t="s">
        <v>190</v>
      </c>
      <c r="R2" s="4">
        <v>40</v>
      </c>
      <c r="S2" s="3" t="s">
        <v>36</v>
      </c>
      <c r="T2" s="4">
        <v>15</v>
      </c>
      <c r="U2" s="3" t="s">
        <v>36</v>
      </c>
      <c r="V2" s="4">
        <v>15</v>
      </c>
      <c r="W2" s="3" t="s">
        <v>36</v>
      </c>
      <c r="X2" s="4">
        <v>8</v>
      </c>
      <c r="Y2" s="3" t="s">
        <v>36</v>
      </c>
      <c r="Z2" s="4">
        <v>10</v>
      </c>
      <c r="AA2" s="3" t="s">
        <v>36</v>
      </c>
      <c r="AB2" s="4">
        <v>10</v>
      </c>
      <c r="AC2" t="str">
        <f>_xlfn.TEXTJOIN(",",,"INSERT INTO assetList VALUES (",A2,B2,C2,F2,E2,G2,H2,I2,J2,K2,L2,N2,P2,Q2,R2,S2,T2,U2,V2,W2,X2,Y2,Z2,AA2,AB2,")")</f>
        <v>INSERT INTO assetList VALUES (,100033,Hotel,Hotel Marktgasse,8.54368,47.37201,4*,Marktgasse,17,8001,Zürich,Switzerland,JuniorSuite,2021-06-10 16:00:00.000000,2021-08-19 15:00:00.000000,40,true,15,true,15,true,8,true,10,true,10,)</v>
      </c>
      <c r="AG2" s="2"/>
    </row>
    <row r="3" spans="1:33" ht="17" hidden="1" customHeight="1" x14ac:dyDescent="0.2">
      <c r="A3" s="3">
        <v>100029</v>
      </c>
      <c r="B3" s="3" t="s">
        <v>27</v>
      </c>
      <c r="C3" s="3" t="s">
        <v>144</v>
      </c>
      <c r="D3" s="5">
        <v>0.16507037446194711</v>
      </c>
      <c r="E3" s="3" t="s">
        <v>146</v>
      </c>
      <c r="F3" s="3" t="s">
        <v>145</v>
      </c>
      <c r="G3" s="3" t="s">
        <v>124</v>
      </c>
      <c r="H3" s="3" t="s">
        <v>41</v>
      </c>
      <c r="I3" s="3">
        <v>10</v>
      </c>
      <c r="J3" s="3">
        <v>8001</v>
      </c>
      <c r="K3" s="3" t="s">
        <v>33</v>
      </c>
      <c r="L3" s="3" t="s">
        <v>34</v>
      </c>
      <c r="M3" s="3"/>
      <c r="N3" s="3" t="s">
        <v>143</v>
      </c>
      <c r="O3" s="3" t="s">
        <v>36</v>
      </c>
      <c r="P3" s="3" t="s">
        <v>188</v>
      </c>
      <c r="Q3" s="3" t="s">
        <v>190</v>
      </c>
      <c r="R3" s="4">
        <v>34</v>
      </c>
      <c r="S3" s="3" t="s">
        <v>36</v>
      </c>
      <c r="T3" s="4">
        <v>15</v>
      </c>
      <c r="U3" s="3" t="s">
        <v>36</v>
      </c>
      <c r="V3" s="4">
        <v>15</v>
      </c>
      <c r="W3" s="3" t="s">
        <v>37</v>
      </c>
      <c r="X3" s="4">
        <v>8</v>
      </c>
      <c r="Y3" s="3" t="s">
        <v>36</v>
      </c>
      <c r="Z3" s="4">
        <v>10</v>
      </c>
      <c r="AA3" s="3" t="s">
        <v>36</v>
      </c>
      <c r="AB3" s="4">
        <v>10</v>
      </c>
      <c r="AC3" t="str">
        <f>_xlfn.TEXTJOIN(",",,"INSERT INTO assetList VALUES (",A3,B3,C3,F3,E3,G3,H3,I3,J3,K3,L3,N3,P3,Q3,R3,S3,T3,U3,V3,W3,X3,Y3,Z3,AA3,AB3,")")</f>
        <v>INSERT INTO assetList VALUES (,100029,Hotel,Hotel Wellenberg,8.54393,47.37306,4*,Niederdorfstrasse,10,8001,Zürich,Switzerland,DoubleSuperior,2021-06-10 16:00:00.000000,2021-08-19 15:00:00.000000,34,true,15,true,15,false,8,true,10,true,10,)</v>
      </c>
      <c r="AG3" s="2"/>
    </row>
    <row r="4" spans="1:33" ht="17" customHeight="1" x14ac:dyDescent="0.2">
      <c r="A4" s="3">
        <v>100009</v>
      </c>
      <c r="B4" s="3" t="s">
        <v>27</v>
      </c>
      <c r="C4" s="3" t="s">
        <v>66</v>
      </c>
      <c r="D4" s="5">
        <v>0.18213394716854139</v>
      </c>
      <c r="E4" s="3" t="s">
        <v>68</v>
      </c>
      <c r="F4" s="3" t="s">
        <v>67</v>
      </c>
      <c r="G4" s="3" t="s">
        <v>31</v>
      </c>
      <c r="H4" s="3" t="s">
        <v>69</v>
      </c>
      <c r="I4" s="3">
        <v>10</v>
      </c>
      <c r="J4" s="3">
        <v>8001</v>
      </c>
      <c r="K4" s="3" t="s">
        <v>33</v>
      </c>
      <c r="L4" s="3" t="s">
        <v>34</v>
      </c>
      <c r="M4" s="3"/>
      <c r="N4" s="3" t="s">
        <v>53</v>
      </c>
      <c r="O4" s="3" t="s">
        <v>36</v>
      </c>
      <c r="P4" s="3" t="s">
        <v>184</v>
      </c>
      <c r="Q4" s="3" t="s">
        <v>189</v>
      </c>
      <c r="R4" s="4">
        <v>25</v>
      </c>
      <c r="S4" s="3" t="s">
        <v>36</v>
      </c>
      <c r="T4" s="4">
        <v>10</v>
      </c>
      <c r="U4" s="3" t="s">
        <v>36</v>
      </c>
      <c r="V4" s="4">
        <v>10</v>
      </c>
      <c r="W4" s="3" t="s">
        <v>37</v>
      </c>
      <c r="X4" s="4">
        <v>5</v>
      </c>
      <c r="Y4" s="3" t="s">
        <v>37</v>
      </c>
      <c r="Z4" s="4">
        <v>10</v>
      </c>
      <c r="AA4" s="3" t="s">
        <v>36</v>
      </c>
      <c r="AB4" s="4">
        <v>10</v>
      </c>
      <c r="AC4" t="str">
        <f>_xlfn.TEXTJOIN(",",,"INSERT INTO assetList VALUES (",A4,B4,C4,F4,E4,G4,H4,I4,J4,K4,L4,N4,P4,Q4,R4,S4,T4,U4,V4,W4,X4,Y4,Z4,AA4,AB4,")")</f>
        <v>INSERT INTO assetList VALUES (,100009,Hotel,Hotel Adler,8.54366,47.37319,3*,Rosengasse,10,8001,Zürich,Switzerland,DoubleStandard,2021-06-10 13:30:00.000000,2021-06-11 12:00:00.000000,25,true,10,true,10,false,5,false,10,true,10,)</v>
      </c>
      <c r="AG4" s="2"/>
    </row>
    <row r="5" spans="1:33" ht="17" customHeight="1" x14ac:dyDescent="0.2">
      <c r="A5" s="3">
        <v>100027</v>
      </c>
      <c r="B5" s="3" t="s">
        <v>27</v>
      </c>
      <c r="C5" s="3" t="s">
        <v>136</v>
      </c>
      <c r="D5" s="5">
        <v>0.18373386188015095</v>
      </c>
      <c r="E5" s="3" t="s">
        <v>138</v>
      </c>
      <c r="F5" s="3" t="s">
        <v>137</v>
      </c>
      <c r="G5" s="3" t="s">
        <v>118</v>
      </c>
      <c r="H5" s="3" t="s">
        <v>139</v>
      </c>
      <c r="I5" s="3">
        <v>2</v>
      </c>
      <c r="J5" s="3">
        <v>8001</v>
      </c>
      <c r="K5" s="3" t="s">
        <v>33</v>
      </c>
      <c r="L5" s="3" t="s">
        <v>34</v>
      </c>
      <c r="M5" s="3"/>
      <c r="N5" s="3" t="s">
        <v>53</v>
      </c>
      <c r="O5" s="3" t="s">
        <v>36</v>
      </c>
      <c r="P5" s="3" t="s">
        <v>187</v>
      </c>
      <c r="Q5" s="3" t="s">
        <v>190</v>
      </c>
      <c r="R5" s="4">
        <v>32</v>
      </c>
      <c r="S5" s="3" t="s">
        <v>36</v>
      </c>
      <c r="T5" s="4">
        <v>15</v>
      </c>
      <c r="U5" s="3" t="s">
        <v>36</v>
      </c>
      <c r="V5" s="4">
        <v>15</v>
      </c>
      <c r="W5" s="3" t="s">
        <v>37</v>
      </c>
      <c r="X5" s="4">
        <v>8</v>
      </c>
      <c r="Y5" s="3" t="s">
        <v>36</v>
      </c>
      <c r="Z5" s="4">
        <v>10</v>
      </c>
      <c r="AA5" s="3" t="s">
        <v>36</v>
      </c>
      <c r="AB5" s="4">
        <v>10</v>
      </c>
      <c r="AC5" t="str">
        <f>_xlfn.TEXTJOIN(",",,"INSERT INTO assetList VALUES (",A5,B5,C5,F5,E5,G5,H5,I5,J5,K5,L5,N5,P5,Q5,R5,S5,T5,U5,V5,W5,X5,Y5,Z5,AA5,AB5,")")</f>
        <v>INSERT INTO assetList VALUES (,100027,Hotel,Hotel Storchen,8.54169,47.3718,5*,Weinplatz,2,8001,Zürich,Switzerland,DoubleStandard,2021-06-10 15:00:00.000000,2021-08-19 15:00:00.000000,32,true,15,true,15,false,8,true,10,true,10,)</v>
      </c>
    </row>
    <row r="6" spans="1:33" ht="17" hidden="1" customHeight="1" x14ac:dyDescent="0.2">
      <c r="A6" s="3">
        <v>100020</v>
      </c>
      <c r="B6" s="3" t="s">
        <v>27</v>
      </c>
      <c r="C6" s="3" t="s">
        <v>108</v>
      </c>
      <c r="D6" s="5">
        <v>0.2050035146973192</v>
      </c>
      <c r="E6" s="3" t="s">
        <v>110</v>
      </c>
      <c r="F6" s="3" t="s">
        <v>109</v>
      </c>
      <c r="G6" s="3" t="s">
        <v>31</v>
      </c>
      <c r="H6" s="3" t="s">
        <v>41</v>
      </c>
      <c r="I6" s="3">
        <v>13</v>
      </c>
      <c r="J6" s="3">
        <v>8001</v>
      </c>
      <c r="K6" s="3" t="s">
        <v>33</v>
      </c>
      <c r="L6" s="3" t="s">
        <v>34</v>
      </c>
      <c r="M6" s="3"/>
      <c r="N6" s="3" t="s">
        <v>103</v>
      </c>
      <c r="O6" s="3" t="s">
        <v>36</v>
      </c>
      <c r="P6" s="3" t="s">
        <v>272</v>
      </c>
      <c r="Q6" s="3" t="s">
        <v>273</v>
      </c>
      <c r="R6" s="4">
        <v>27</v>
      </c>
      <c r="S6" s="3" t="s">
        <v>36</v>
      </c>
      <c r="T6" s="4">
        <v>10</v>
      </c>
      <c r="U6" s="3" t="s">
        <v>36</v>
      </c>
      <c r="V6" s="4">
        <v>10</v>
      </c>
      <c r="W6" s="3" t="s">
        <v>36</v>
      </c>
      <c r="X6" s="4">
        <v>5</v>
      </c>
      <c r="Y6" s="3" t="s">
        <v>37</v>
      </c>
      <c r="Z6" s="4">
        <v>10</v>
      </c>
      <c r="AA6" s="3" t="s">
        <v>37</v>
      </c>
      <c r="AB6" s="4">
        <v>10</v>
      </c>
      <c r="AC6" t="str">
        <f>_xlfn.TEXTJOIN(",",,"INSERT INTO assetList VALUES (",A6,B6,C6,F6,E6,G6,H6,I6,J6,K6,L6,N6,P6,Q6,R6,S6,T6,U6,V6,W6,X6,Y6,Z6,AA6,AB6,")")</f>
        <v>INSERT INTO assetList VALUES (,100020,Hotel,Hotel Hirschen,8.54367,47.3734,3*,Niederdorfstrasse,13,8001,Zürich,Switzerland,DoubleBusiness,2021-06-11 14:00:00.000000,2021-06-12 17:00:00.000000,27,true,10,true,10,true,5,false,10,false,10,)</v>
      </c>
    </row>
    <row r="7" spans="1:33" ht="17" customHeight="1" x14ac:dyDescent="0.2">
      <c r="A7" s="3">
        <v>100012</v>
      </c>
      <c r="B7" s="3" t="s">
        <v>27</v>
      </c>
      <c r="C7" s="3" t="s">
        <v>76</v>
      </c>
      <c r="D7" s="5">
        <v>0.21582753494960119</v>
      </c>
      <c r="E7" s="3" t="s">
        <v>78</v>
      </c>
      <c r="F7" s="3" t="s">
        <v>77</v>
      </c>
      <c r="G7" s="3" t="s">
        <v>31</v>
      </c>
      <c r="H7" s="3" t="s">
        <v>79</v>
      </c>
      <c r="I7" s="3">
        <v>3</v>
      </c>
      <c r="J7" s="3">
        <v>8001</v>
      </c>
      <c r="K7" s="3" t="s">
        <v>33</v>
      </c>
      <c r="L7" s="3" t="s">
        <v>34</v>
      </c>
      <c r="M7" s="3"/>
      <c r="N7" s="3" t="s">
        <v>53</v>
      </c>
      <c r="O7" s="3" t="s">
        <v>36</v>
      </c>
      <c r="P7" s="3" t="s">
        <v>185</v>
      </c>
      <c r="Q7" s="3" t="s">
        <v>189</v>
      </c>
      <c r="R7" s="4">
        <v>25</v>
      </c>
      <c r="S7" s="3" t="s">
        <v>36</v>
      </c>
      <c r="T7" s="4">
        <v>10</v>
      </c>
      <c r="U7" s="3" t="s">
        <v>36</v>
      </c>
      <c r="V7" s="4">
        <v>10</v>
      </c>
      <c r="W7" s="3" t="s">
        <v>37</v>
      </c>
      <c r="X7" s="4">
        <v>5</v>
      </c>
      <c r="Y7" s="3" t="s">
        <v>37</v>
      </c>
      <c r="Z7" s="4">
        <v>10</v>
      </c>
      <c r="AA7" s="3" t="s">
        <v>37</v>
      </c>
      <c r="AB7" s="4">
        <v>10</v>
      </c>
      <c r="AC7" t="str">
        <f>_xlfn.TEXTJOIN(",",,"INSERT INTO assetList VALUES (",A7,B7,C7,F7,E7,G7,H7,I7,J7,K7,L7,N7,P7,Q7,R7,S7,T7,U7,V7,W7,X7,Y7,Z7,AA7,AB7,")")</f>
        <v>INSERT INTO assetList VALUES (,100012,Hotel,Hotel Platzhirsch,8.544,47.37352,3*,Spitalgasse,3,8001,Zürich,Switzerland,DoubleStandard,2021-06-10 14:00:00.000000,2021-06-11 12:00:00.000000,25,true,10,true,10,false,5,false,10,false,10,)</v>
      </c>
    </row>
    <row r="8" spans="1:33" ht="17" customHeight="1" x14ac:dyDescent="0.2">
      <c r="A8" s="3" t="s">
        <v>194</v>
      </c>
      <c r="B8" s="3" t="s">
        <v>27</v>
      </c>
      <c r="C8" s="3" t="s">
        <v>38</v>
      </c>
      <c r="D8" s="5">
        <v>0.22907401113696332</v>
      </c>
      <c r="E8" s="3" t="s">
        <v>40</v>
      </c>
      <c r="F8" s="3" t="s">
        <v>39</v>
      </c>
      <c r="G8" s="3" t="s">
        <v>31</v>
      </c>
      <c r="H8" s="3" t="s">
        <v>41</v>
      </c>
      <c r="I8" s="3">
        <v>17</v>
      </c>
      <c r="J8" s="3">
        <v>8001</v>
      </c>
      <c r="K8" s="3" t="s">
        <v>33</v>
      </c>
      <c r="L8" s="3" t="s">
        <v>34</v>
      </c>
      <c r="M8" s="3"/>
      <c r="N8" s="3" t="s">
        <v>35</v>
      </c>
      <c r="O8" s="3" t="s">
        <v>36</v>
      </c>
      <c r="P8" s="3" t="s">
        <v>183</v>
      </c>
      <c r="Q8" s="3" t="s">
        <v>189</v>
      </c>
      <c r="R8" s="4">
        <v>20</v>
      </c>
      <c r="S8" s="3" t="s">
        <v>36</v>
      </c>
      <c r="T8" s="4">
        <v>10</v>
      </c>
      <c r="U8" s="3" t="s">
        <v>36</v>
      </c>
      <c r="V8" s="4">
        <v>10</v>
      </c>
      <c r="W8" s="3" t="s">
        <v>36</v>
      </c>
      <c r="X8" s="4">
        <v>5</v>
      </c>
      <c r="Y8" s="3" t="s">
        <v>37</v>
      </c>
      <c r="Z8" s="4">
        <v>10</v>
      </c>
      <c r="AA8" s="3" t="s">
        <v>37</v>
      </c>
      <c r="AB8" s="4">
        <v>10</v>
      </c>
      <c r="AC8" t="str">
        <f>_xlfn.TEXTJOIN(",",,"INSERT INTO assetList VALUES (",A8,B8,C8,F8,E8,G8,H8,I8,J8,K8,L8,N8,P8,Q8,R8,S8,T8,U8,V8,W8,X8,Y8,Z8,AA8,AB8,")")</f>
        <v>INSERT INTO assetList VALUES (,100002.1,Hotel,Hotel Old Town,8.54368,47.37362,3*,Niederdorfstrasse,17,8001,Zürich,Switzerland,SingleStandard,2021-06-10 13:00:00.000000,2021-06-11 12:00:00.000000,20,true,10,true,10,true,5,false,10,false,10,)</v>
      </c>
    </row>
    <row r="9" spans="1:33" ht="17" customHeight="1" x14ac:dyDescent="0.2">
      <c r="A9" s="3" t="s">
        <v>197</v>
      </c>
      <c r="B9" s="3" t="s">
        <v>27</v>
      </c>
      <c r="C9" s="3" t="s">
        <v>38</v>
      </c>
      <c r="D9" s="5">
        <v>0.22907401113696332</v>
      </c>
      <c r="E9" s="3" t="s">
        <v>40</v>
      </c>
      <c r="F9" s="3" t="s">
        <v>39</v>
      </c>
      <c r="G9" s="3" t="s">
        <v>31</v>
      </c>
      <c r="H9" s="3" t="s">
        <v>41</v>
      </c>
      <c r="I9" s="3">
        <v>17</v>
      </c>
      <c r="J9" s="3">
        <v>8001</v>
      </c>
      <c r="K9" s="3" t="s">
        <v>33</v>
      </c>
      <c r="L9" s="3" t="s">
        <v>34</v>
      </c>
      <c r="M9" s="3"/>
      <c r="N9" s="3" t="s">
        <v>53</v>
      </c>
      <c r="O9" s="3" t="s">
        <v>36</v>
      </c>
      <c r="P9" s="3" t="s">
        <v>183</v>
      </c>
      <c r="Q9" s="3" t="s">
        <v>189</v>
      </c>
      <c r="R9" s="4">
        <v>25</v>
      </c>
      <c r="S9" s="3" t="s">
        <v>36</v>
      </c>
      <c r="T9" s="4">
        <v>10</v>
      </c>
      <c r="U9" s="3" t="s">
        <v>36</v>
      </c>
      <c r="V9" s="4">
        <v>10</v>
      </c>
      <c r="W9" s="3" t="s">
        <v>36</v>
      </c>
      <c r="X9" s="4">
        <v>5</v>
      </c>
      <c r="Y9" s="3" t="s">
        <v>37</v>
      </c>
      <c r="Z9" s="4">
        <v>10</v>
      </c>
      <c r="AA9" s="3" t="s">
        <v>37</v>
      </c>
      <c r="AB9" s="4">
        <v>10</v>
      </c>
      <c r="AC9" t="str">
        <f>_xlfn.TEXTJOIN(",",,"INSERT INTO assetList VALUES (",A9,B9,C9,F9,E9,G9,H9,I9,J9,K9,L9,N9,P9,Q9,R9,S9,T9,U9,V9,W9,X9,Y9,Z9,AA9,AB9,")")</f>
        <v>INSERT INTO assetList VALUES (,100002.2,Hotel,Hotel Old Town,8.54368,47.37362,3*,Niederdorfstrasse,17,8001,Zürich,Switzerland,DoubleStandard,2021-06-10 13:00:00.000000,2021-06-11 12:00:00.000000,25,true,10,true,10,true,5,false,10,false,10,)</v>
      </c>
    </row>
    <row r="10" spans="1:33" ht="17" customHeight="1" x14ac:dyDescent="0.2">
      <c r="A10" s="3" t="s">
        <v>198</v>
      </c>
      <c r="B10" s="3" t="s">
        <v>27</v>
      </c>
      <c r="C10" s="3" t="s">
        <v>38</v>
      </c>
      <c r="D10" s="5">
        <v>0.22907401113696332</v>
      </c>
      <c r="E10" s="3" t="s">
        <v>40</v>
      </c>
      <c r="F10" s="3" t="s">
        <v>39</v>
      </c>
      <c r="G10" s="3" t="s">
        <v>31</v>
      </c>
      <c r="H10" s="3" t="s">
        <v>41</v>
      </c>
      <c r="I10" s="3">
        <v>17</v>
      </c>
      <c r="J10" s="3">
        <v>8001</v>
      </c>
      <c r="K10" s="3" t="s">
        <v>33</v>
      </c>
      <c r="L10" s="3" t="s">
        <v>34</v>
      </c>
      <c r="M10" s="3"/>
      <c r="N10" s="3" t="s">
        <v>180</v>
      </c>
      <c r="O10" s="3" t="s">
        <v>36</v>
      </c>
      <c r="P10" s="3" t="s">
        <v>183</v>
      </c>
      <c r="Q10" s="3" t="s">
        <v>189</v>
      </c>
      <c r="R10" s="4">
        <v>28</v>
      </c>
      <c r="S10" s="3" t="s">
        <v>36</v>
      </c>
      <c r="T10" s="4">
        <v>10</v>
      </c>
      <c r="U10" s="3" t="s">
        <v>36</v>
      </c>
      <c r="V10" s="4">
        <v>10</v>
      </c>
      <c r="W10" s="3" t="s">
        <v>36</v>
      </c>
      <c r="X10" s="4">
        <v>5</v>
      </c>
      <c r="Y10" s="3" t="s">
        <v>36</v>
      </c>
      <c r="Z10" s="4">
        <v>10</v>
      </c>
      <c r="AA10" s="3" t="s">
        <v>37</v>
      </c>
      <c r="AB10" s="4">
        <v>10</v>
      </c>
      <c r="AC10" t="str">
        <f>_xlfn.TEXTJOIN(",",,"INSERT INTO assetList VALUES (",A10,B10,C10,F10,E10,G10,H10,I10,J10,K10,L10,N10,P10,Q10,R10,S10,T10,U10,V10,W10,X10,Y10,Z10,AA10,AB10,")")</f>
        <v>INSERT INTO assetList VALUES (,100002.3,Hotel,Hotel Old Town,8.54368,47.37362,3*,Niederdorfstrasse,17,8001,Zürich,Switzerland,"DoubleSuperior",2021-06-10 13:00:00.000000,2021-06-11 12:00:00.000000,28,true,10,true,10,true,5,true,10,false,10,)</v>
      </c>
    </row>
    <row r="11" spans="1:33" ht="17" customHeight="1" x14ac:dyDescent="0.2">
      <c r="A11" s="3" t="s">
        <v>199</v>
      </c>
      <c r="B11" s="3" t="s">
        <v>27</v>
      </c>
      <c r="C11" s="3" t="s">
        <v>38</v>
      </c>
      <c r="D11" s="5">
        <v>0.22907401113696332</v>
      </c>
      <c r="E11" s="3" t="s">
        <v>40</v>
      </c>
      <c r="F11" s="3" t="s">
        <v>39</v>
      </c>
      <c r="G11" s="3" t="s">
        <v>31</v>
      </c>
      <c r="H11" s="3" t="s">
        <v>41</v>
      </c>
      <c r="I11" s="3">
        <v>17</v>
      </c>
      <c r="J11" s="3">
        <v>8001</v>
      </c>
      <c r="K11" s="3" t="s">
        <v>33</v>
      </c>
      <c r="L11" s="3" t="s">
        <v>34</v>
      </c>
      <c r="M11" s="3"/>
      <c r="N11" s="3" t="s">
        <v>174</v>
      </c>
      <c r="O11" s="3" t="s">
        <v>36</v>
      </c>
      <c r="P11" s="3" t="s">
        <v>183</v>
      </c>
      <c r="Q11" s="3" t="s">
        <v>189</v>
      </c>
      <c r="R11" s="4">
        <v>24</v>
      </c>
      <c r="S11" s="3" t="s">
        <v>36</v>
      </c>
      <c r="T11" s="4">
        <v>10</v>
      </c>
      <c r="U11" s="3" t="s">
        <v>36</v>
      </c>
      <c r="V11" s="4">
        <v>10</v>
      </c>
      <c r="W11" s="3" t="s">
        <v>36</v>
      </c>
      <c r="X11" s="4">
        <v>5</v>
      </c>
      <c r="Y11" s="3" t="s">
        <v>36</v>
      </c>
      <c r="Z11" s="4">
        <v>10</v>
      </c>
      <c r="AA11" s="3" t="s">
        <v>37</v>
      </c>
      <c r="AB11" s="4">
        <v>10</v>
      </c>
      <c r="AC11" t="str">
        <f>_xlfn.TEXTJOIN(",",,"INSERT INTO assetList VALUES (",A11,B11,C11,F11,E11,G11,H11,I11,J11,K11,L11,N11,P11,Q11,R11,S11,T11,U11,V11,W11,X11,Y11,Z11,AA11,AB11,")")</f>
        <v>INSERT INTO assetList VALUES (,100002.4,Hotel,Hotel Old Town,8.54368,47.37362,3*,Niederdorfstrasse,17,8001,Zürich,Switzerland,"SingelBusiness",2021-06-10 13:00:00.000000,2021-06-11 12:00:00.000000,24,true,10,true,10,true,5,true,10,false,10,)</v>
      </c>
    </row>
    <row r="12" spans="1:33" ht="17" customHeight="1" x14ac:dyDescent="0.2">
      <c r="A12" s="3" t="s">
        <v>191</v>
      </c>
      <c r="B12" s="3" t="s">
        <v>27</v>
      </c>
      <c r="C12" s="3" t="s">
        <v>28</v>
      </c>
      <c r="D12" s="5">
        <v>0.24689725205050808</v>
      </c>
      <c r="E12" s="3" t="s">
        <v>30</v>
      </c>
      <c r="F12" s="3" t="s">
        <v>29</v>
      </c>
      <c r="G12" s="3" t="s">
        <v>31</v>
      </c>
      <c r="H12" s="3" t="s">
        <v>32</v>
      </c>
      <c r="I12" s="3">
        <v>4</v>
      </c>
      <c r="J12" s="3">
        <v>8001</v>
      </c>
      <c r="K12" s="3" t="s">
        <v>33</v>
      </c>
      <c r="L12" s="3" t="s">
        <v>34</v>
      </c>
      <c r="M12" s="3"/>
      <c r="N12" s="3" t="s">
        <v>35</v>
      </c>
      <c r="O12" s="3" t="s">
        <v>36</v>
      </c>
      <c r="P12" s="3" t="s">
        <v>183</v>
      </c>
      <c r="Q12" s="3" t="s">
        <v>189</v>
      </c>
      <c r="R12" s="4">
        <v>20</v>
      </c>
      <c r="S12" s="3" t="s">
        <v>36</v>
      </c>
      <c r="T12" s="4">
        <v>10</v>
      </c>
      <c r="U12" s="3" t="s">
        <v>36</v>
      </c>
      <c r="V12" s="4">
        <v>10</v>
      </c>
      <c r="W12" s="3" t="s">
        <v>36</v>
      </c>
      <c r="X12" s="4">
        <v>5</v>
      </c>
      <c r="Y12" s="3" t="s">
        <v>37</v>
      </c>
      <c r="Z12" s="4">
        <v>10</v>
      </c>
      <c r="AA12" s="3" t="s">
        <v>37</v>
      </c>
      <c r="AB12" s="4">
        <v>10</v>
      </c>
      <c r="AC12" t="str">
        <f>_xlfn.TEXTJOIN(",",,"INSERT INTO assetList VALUES (",A12,B12,C12,F12,E12,G12,H12,I12,J12,K12,L12,N12,P12,Q12,R12,S12,T12,U12,V12,W12,X12,Y12,Z12,AA12,AB12,")")</f>
        <v>INSERT INTO assetList VALUES (,100001.1,Hotel,Hotel Altstadt,8.54411,47.36936,3*,Kirchgasse,4,8001,Zürich,Switzerland,SingleStandard,2021-06-10 13:00:00.000000,2021-06-11 12:00:00.000000,20,true,10,true,10,true,5,false,10,false,10,)</v>
      </c>
    </row>
    <row r="13" spans="1:33" ht="17" customHeight="1" x14ac:dyDescent="0.2">
      <c r="A13" s="3" t="s">
        <v>192</v>
      </c>
      <c r="B13" s="3" t="s">
        <v>27</v>
      </c>
      <c r="C13" s="3" t="s">
        <v>28</v>
      </c>
      <c r="D13" s="5">
        <v>0.24689725205050808</v>
      </c>
      <c r="E13" s="3" t="s">
        <v>30</v>
      </c>
      <c r="F13" s="3" t="s">
        <v>29</v>
      </c>
      <c r="G13" s="3" t="s">
        <v>31</v>
      </c>
      <c r="H13" s="3" t="s">
        <v>32</v>
      </c>
      <c r="I13" s="3">
        <v>4</v>
      </c>
      <c r="J13" s="3">
        <v>8001</v>
      </c>
      <c r="K13" s="3" t="s">
        <v>33</v>
      </c>
      <c r="L13" s="3" t="s">
        <v>34</v>
      </c>
      <c r="M13" s="3"/>
      <c r="N13" s="3" t="s">
        <v>174</v>
      </c>
      <c r="O13" s="3" t="s">
        <v>36</v>
      </c>
      <c r="P13" s="3" t="s">
        <v>183</v>
      </c>
      <c r="Q13" s="3" t="s">
        <v>189</v>
      </c>
      <c r="R13" s="4">
        <v>25</v>
      </c>
      <c r="S13" s="3" t="s">
        <v>36</v>
      </c>
      <c r="T13" s="4">
        <v>10</v>
      </c>
      <c r="U13" s="3" t="s">
        <v>36</v>
      </c>
      <c r="V13" s="4">
        <v>10</v>
      </c>
      <c r="W13" s="3" t="s">
        <v>36</v>
      </c>
      <c r="X13" s="4">
        <v>5</v>
      </c>
      <c r="Y13" s="3" t="s">
        <v>37</v>
      </c>
      <c r="Z13" s="4">
        <v>10</v>
      </c>
      <c r="AA13" s="3" t="s">
        <v>37</v>
      </c>
      <c r="AB13" s="4">
        <v>10</v>
      </c>
      <c r="AC13" t="str">
        <f>_xlfn.TEXTJOIN(",",,"INSERT INTO assetList VALUES (",A13,B13,C13,F13,E13,G13,H13,I13,J13,K13,L13,N13,P13,Q13,R13,S13,T13,U13,V13,W13,X13,Y13,Z13,AA13,AB13,")")</f>
        <v>INSERT INTO assetList VALUES (,100001.2,Hotel,Hotel Altstadt,8.54411,47.36936,3*,Kirchgasse,4,8001,Zürich,Switzerland,"SingelBusiness",2021-06-10 13:00:00.000000,2021-06-11 12:00:00.000000,25,true,10,true,10,true,5,false,10,false,10,)</v>
      </c>
    </row>
    <row r="14" spans="1:33" ht="17" customHeight="1" x14ac:dyDescent="0.2">
      <c r="A14" s="3" t="s">
        <v>193</v>
      </c>
      <c r="B14" s="3" t="s">
        <v>27</v>
      </c>
      <c r="C14" s="3" t="s">
        <v>28</v>
      </c>
      <c r="D14" s="5">
        <v>0.24689725205050808</v>
      </c>
      <c r="E14" s="3" t="s">
        <v>30</v>
      </c>
      <c r="F14" s="3" t="s">
        <v>29</v>
      </c>
      <c r="G14" s="3" t="s">
        <v>31</v>
      </c>
      <c r="H14" s="3" t="s">
        <v>32</v>
      </c>
      <c r="I14" s="3">
        <v>4</v>
      </c>
      <c r="J14" s="3">
        <v>8001</v>
      </c>
      <c r="K14" s="3" t="s">
        <v>33</v>
      </c>
      <c r="L14" s="3" t="s">
        <v>34</v>
      </c>
      <c r="M14" s="3"/>
      <c r="N14" s="3" t="s">
        <v>161</v>
      </c>
      <c r="O14" s="3" t="s">
        <v>36</v>
      </c>
      <c r="P14" s="3" t="s">
        <v>183</v>
      </c>
      <c r="Q14" s="3" t="s">
        <v>189</v>
      </c>
      <c r="R14" s="4">
        <v>30</v>
      </c>
      <c r="S14" s="3" t="s">
        <v>36</v>
      </c>
      <c r="T14" s="4">
        <v>10</v>
      </c>
      <c r="U14" s="3" t="s">
        <v>36</v>
      </c>
      <c r="V14" s="4">
        <v>10</v>
      </c>
      <c r="W14" s="3" t="s">
        <v>36</v>
      </c>
      <c r="X14" s="4">
        <v>5</v>
      </c>
      <c r="Y14" s="3" t="s">
        <v>37</v>
      </c>
      <c r="Z14" s="4">
        <v>10</v>
      </c>
      <c r="AA14" s="3" t="s">
        <v>37</v>
      </c>
      <c r="AB14" s="4">
        <v>10</v>
      </c>
      <c r="AC14" t="str">
        <f>_xlfn.TEXTJOIN(",",,"INSERT INTO assetList VALUES (",A14,B14,C14,F14,E14,G14,H14,I14,J14,K14,L14,N14,P14,Q14,R14,S14,T14,U14,V14,W14,X14,Y14,Z14,AA14,AB14,")")</f>
        <v>INSERT INTO assetList VALUES (,100001.3,Hotel,Hotel Altstadt,8.54411,47.36936,3*,Kirchgasse,4,8001,Zürich,Switzerland,JuniorSuite,2021-06-10 13:00:00.000000,2021-06-11 12:00:00.000000,30,true,10,true,10,true,5,false,10,false,10,)</v>
      </c>
    </row>
    <row r="15" spans="1:33" ht="17" customHeight="1" x14ac:dyDescent="0.2">
      <c r="A15" s="3">
        <v>100013</v>
      </c>
      <c r="B15" s="3" t="s">
        <v>27</v>
      </c>
      <c r="C15" s="3" t="s">
        <v>80</v>
      </c>
      <c r="D15" s="5">
        <v>0.26136651756117812</v>
      </c>
      <c r="E15" s="3" t="s">
        <v>82</v>
      </c>
      <c r="F15" s="3" t="s">
        <v>81</v>
      </c>
      <c r="G15" s="3" t="s">
        <v>31</v>
      </c>
      <c r="H15" s="3" t="s">
        <v>83</v>
      </c>
      <c r="I15" s="3">
        <v>7</v>
      </c>
      <c r="J15" s="3">
        <v>8001</v>
      </c>
      <c r="K15" s="3" t="s">
        <v>33</v>
      </c>
      <c r="L15" s="3" t="s">
        <v>34</v>
      </c>
      <c r="M15" s="3"/>
      <c r="N15" s="3" t="s">
        <v>53</v>
      </c>
      <c r="O15" s="3" t="s">
        <v>36</v>
      </c>
      <c r="P15" s="3" t="s">
        <v>185</v>
      </c>
      <c r="Q15" s="3" t="s">
        <v>189</v>
      </c>
      <c r="R15" s="4">
        <v>25</v>
      </c>
      <c r="S15" s="3" t="s">
        <v>36</v>
      </c>
      <c r="T15" s="4">
        <v>10</v>
      </c>
      <c r="U15" s="3" t="s">
        <v>36</v>
      </c>
      <c r="V15" s="4">
        <v>10</v>
      </c>
      <c r="W15" s="3" t="s">
        <v>37</v>
      </c>
      <c r="X15" s="4">
        <v>5</v>
      </c>
      <c r="Y15" s="3" t="s">
        <v>37</v>
      </c>
      <c r="Z15" s="4">
        <v>10</v>
      </c>
      <c r="AA15" s="3" t="s">
        <v>37</v>
      </c>
      <c r="AB15" s="4">
        <v>10</v>
      </c>
      <c r="AC15" t="str">
        <f>_xlfn.TEXTJOIN(",",,"INSERT INTO assetList VALUES (",A15,B15,C15,F15,E15,G15,H15,I15,J15,K15,L15,N15,P15,Q15,R15,S15,T15,U15,V15,W15,X15,Y15,Z15,AA15,AB15,")")</f>
        <v>INSERT INTO assetList VALUES (,100013,Hotel,Hotel Rösli,8.54443,47.36924,3*,Rösligasse,7,8001,Zürich,Switzerland,DoubleStandard,2021-06-10 14:00:00.000000,2021-06-11 12:00:00.000000,25,true,10,true,10,false,5,false,10,false,10,)</v>
      </c>
    </row>
    <row r="16" spans="1:33" ht="17" hidden="1" customHeight="1" x14ac:dyDescent="0.2">
      <c r="A16" s="3">
        <v>100030</v>
      </c>
      <c r="B16" s="3" t="s">
        <v>27</v>
      </c>
      <c r="C16" s="3" t="s">
        <v>147</v>
      </c>
      <c r="D16" s="5">
        <v>0.27138437456493031</v>
      </c>
      <c r="E16" s="3" t="s">
        <v>149</v>
      </c>
      <c r="F16" s="3" t="s">
        <v>148</v>
      </c>
      <c r="G16" s="3" t="s">
        <v>124</v>
      </c>
      <c r="H16" s="3" t="s">
        <v>102</v>
      </c>
      <c r="I16" s="3">
        <v>30</v>
      </c>
      <c r="J16" s="3">
        <v>8001</v>
      </c>
      <c r="K16" s="3" t="s">
        <v>33</v>
      </c>
      <c r="L16" s="3" t="s">
        <v>34</v>
      </c>
      <c r="M16" s="3"/>
      <c r="N16" s="3" t="s">
        <v>103</v>
      </c>
      <c r="O16" s="3" t="s">
        <v>36</v>
      </c>
      <c r="P16" s="3" t="s">
        <v>188</v>
      </c>
      <c r="Q16" s="3" t="s">
        <v>190</v>
      </c>
      <c r="R16" s="4">
        <v>36</v>
      </c>
      <c r="S16" s="3" t="s">
        <v>36</v>
      </c>
      <c r="T16" s="4">
        <v>15</v>
      </c>
      <c r="U16" s="3" t="s">
        <v>36</v>
      </c>
      <c r="V16" s="4">
        <v>15</v>
      </c>
      <c r="W16" s="3" t="s">
        <v>37</v>
      </c>
      <c r="X16" s="4">
        <v>8</v>
      </c>
      <c r="Y16" s="3" t="s">
        <v>36</v>
      </c>
      <c r="Z16" s="4">
        <v>10</v>
      </c>
      <c r="AA16" s="3" t="s">
        <v>36</v>
      </c>
      <c r="AB16" s="4">
        <v>10</v>
      </c>
      <c r="AC16" t="str">
        <f>_xlfn.TEXTJOIN(",",,"INSERT INTO assetList VALUES (",A16,B16,C16,F16,E16,G16,H16,I16,J16,K16,L16,N16,P16,Q16,R16,S16,T16,U16,V16,W16,X16,Y16,Z16,AA16,AB16,")")</f>
        <v>INSERT INTO assetList VALUES (,100030,Hotel,Hotel Helmhaus,8.54406,47.36914,4*,Schifflände,30,8001,Zürich,Switzerland,DoubleBusiness,2021-06-10 16:00:00.000000,2021-08-19 15:00:00.000000,36,true,15,true,15,false,8,true,10,true,10,)</v>
      </c>
    </row>
    <row r="17" spans="1:29" ht="17" customHeight="1" x14ac:dyDescent="0.2">
      <c r="A17" s="3">
        <v>100024</v>
      </c>
      <c r="B17" s="3" t="s">
        <v>27</v>
      </c>
      <c r="C17" s="3" t="s">
        <v>126</v>
      </c>
      <c r="D17" s="5">
        <v>0.27378700702098019</v>
      </c>
      <c r="E17" s="3" t="s">
        <v>128</v>
      </c>
      <c r="F17" s="3" t="s">
        <v>127</v>
      </c>
      <c r="G17" s="3" t="s">
        <v>124</v>
      </c>
      <c r="H17" s="3" t="s">
        <v>129</v>
      </c>
      <c r="I17" s="3">
        <v>10</v>
      </c>
      <c r="J17" s="3">
        <v>8001</v>
      </c>
      <c r="K17" s="3" t="s">
        <v>33</v>
      </c>
      <c r="L17" s="3" t="s">
        <v>34</v>
      </c>
      <c r="M17" s="3"/>
      <c r="N17" s="3" t="s">
        <v>35</v>
      </c>
      <c r="O17" s="3" t="s">
        <v>36</v>
      </c>
      <c r="P17" s="3" t="s">
        <v>187</v>
      </c>
      <c r="Q17" s="3" t="s">
        <v>190</v>
      </c>
      <c r="R17" s="4">
        <v>30</v>
      </c>
      <c r="S17" s="3" t="s">
        <v>36</v>
      </c>
      <c r="T17" s="4">
        <v>15</v>
      </c>
      <c r="U17" s="3" t="s">
        <v>36</v>
      </c>
      <c r="V17" s="4">
        <v>15</v>
      </c>
      <c r="W17" s="3" t="s">
        <v>37</v>
      </c>
      <c r="X17" s="4">
        <v>8</v>
      </c>
      <c r="Y17" s="3" t="s">
        <v>36</v>
      </c>
      <c r="Z17" s="4">
        <v>10</v>
      </c>
      <c r="AA17" s="3" t="s">
        <v>36</v>
      </c>
      <c r="AB17" s="4">
        <v>10</v>
      </c>
      <c r="AC17" t="str">
        <f>_xlfn.TEXTJOIN(",",,"INSERT INTO assetList VALUES (",A17,B17,C17,F17,E17,G17,H17,I17,J17,K17,L17,N17,P17,Q17,R17,S17,T17,U17,V17,W17,X17,Y17,Z17,AA17,AB17,")")</f>
        <v>INSERT INTO assetList VALUES (,100024,Hotel,Hotel Sorell St. Peter,8.54066,47.3708,4*,In Gassen,10,8001,Zürich,Switzerland,SingleStandard,2021-06-10 15:00:00.000000,2021-08-19 15:00:00.000000,30,true,15,true,15,false,8,true,10,true,10,)</v>
      </c>
    </row>
    <row r="18" spans="1:29" ht="17" customHeight="1" x14ac:dyDescent="0.2">
      <c r="A18" s="3">
        <v>100007</v>
      </c>
      <c r="B18" s="3" t="s">
        <v>27</v>
      </c>
      <c r="C18" s="3" t="s">
        <v>58</v>
      </c>
      <c r="D18" s="5">
        <v>0.27458159295281587</v>
      </c>
      <c r="E18" s="3" t="s">
        <v>60</v>
      </c>
      <c r="F18" s="3" t="s">
        <v>59</v>
      </c>
      <c r="G18" s="3" t="s">
        <v>31</v>
      </c>
      <c r="H18" s="3" t="s">
        <v>61</v>
      </c>
      <c r="I18" s="3">
        <v>1</v>
      </c>
      <c r="J18" s="3">
        <v>8001</v>
      </c>
      <c r="K18" s="3" t="s">
        <v>33</v>
      </c>
      <c r="L18" s="3" t="s">
        <v>34</v>
      </c>
      <c r="M18" s="3"/>
      <c r="N18" s="3" t="s">
        <v>53</v>
      </c>
      <c r="O18" s="3" t="s">
        <v>36</v>
      </c>
      <c r="P18" s="3" t="s">
        <v>184</v>
      </c>
      <c r="Q18" s="3" t="s">
        <v>189</v>
      </c>
      <c r="R18" s="4">
        <v>23</v>
      </c>
      <c r="S18" s="3" t="s">
        <v>36</v>
      </c>
      <c r="T18" s="4">
        <v>10</v>
      </c>
      <c r="U18" s="3" t="s">
        <v>36</v>
      </c>
      <c r="V18" s="4">
        <v>10</v>
      </c>
      <c r="W18" s="3" t="s">
        <v>37</v>
      </c>
      <c r="X18" s="4">
        <v>5</v>
      </c>
      <c r="Y18" s="3" t="s">
        <v>37</v>
      </c>
      <c r="Z18" s="4">
        <v>10</v>
      </c>
      <c r="AA18" s="3" t="s">
        <v>37</v>
      </c>
      <c r="AB18" s="4">
        <v>10</v>
      </c>
      <c r="AC18" t="str">
        <f>_xlfn.TEXTJOIN(",",,"INSERT INTO assetList VALUES (",A18,B18,C18,F18,E18,G18,H18,I18,J18,K18,L18,N18,P18,Q18,R18,S18,T18,U18,V18,W18,X18,Y18,Z18,AA18,AB18,")")</f>
        <v>INSERT INTO assetList VALUES (,100007,Hotel,Hotel Kindli,8.54069,47.37244,3*,Pfalzgasse,1,8001,Zürich,Switzerland,DoubleStandard,2021-06-10 13:30:00.000000,2021-06-11 12:00:00.000000,23,true,10,true,10,false,5,false,10,false,10,)</v>
      </c>
    </row>
    <row r="19" spans="1:29" ht="17" customHeight="1" x14ac:dyDescent="0.2">
      <c r="A19" s="3">
        <v>100006</v>
      </c>
      <c r="B19" s="3" t="s">
        <v>27</v>
      </c>
      <c r="C19" s="3" t="s">
        <v>54</v>
      </c>
      <c r="D19" s="5">
        <v>0.30611249023667469</v>
      </c>
      <c r="E19" s="3" t="s">
        <v>56</v>
      </c>
      <c r="F19" s="3" t="s">
        <v>55</v>
      </c>
      <c r="G19" s="3" t="s">
        <v>31</v>
      </c>
      <c r="H19" s="3" t="s">
        <v>57</v>
      </c>
      <c r="I19" s="3">
        <v>4</v>
      </c>
      <c r="J19" s="3">
        <v>8001</v>
      </c>
      <c r="K19" s="3" t="s">
        <v>33</v>
      </c>
      <c r="L19" s="3" t="s">
        <v>34</v>
      </c>
      <c r="M19" s="3"/>
      <c r="N19" s="3" t="s">
        <v>53</v>
      </c>
      <c r="O19" s="3" t="s">
        <v>36</v>
      </c>
      <c r="P19" s="3" t="s">
        <v>184</v>
      </c>
      <c r="Q19" s="3" t="s">
        <v>189</v>
      </c>
      <c r="R19" s="4">
        <v>23</v>
      </c>
      <c r="S19" s="3" t="s">
        <v>36</v>
      </c>
      <c r="T19" s="4">
        <v>10</v>
      </c>
      <c r="U19" s="3" t="s">
        <v>36</v>
      </c>
      <c r="V19" s="4">
        <v>10</v>
      </c>
      <c r="W19" s="3" t="s">
        <v>36</v>
      </c>
      <c r="X19" s="4">
        <v>5</v>
      </c>
      <c r="Y19" s="3" t="s">
        <v>37</v>
      </c>
      <c r="Z19" s="4">
        <v>10</v>
      </c>
      <c r="AA19" s="3" t="s">
        <v>37</v>
      </c>
      <c r="AB19" s="4">
        <v>10</v>
      </c>
      <c r="AC19" t="str">
        <f>_xlfn.TEXTJOIN(",",,"INSERT INTO assetList VALUES (",A19,B19,C19,F19,E19,G19,H19,I19,J19,K19,L19,N19,P19,Q19,R19,S19,T19,U19,V19,W19,X19,Y19,Z19,AA19,AB19,")")</f>
        <v>INSERT INTO assetList VALUES (,100006,Hotel,Hotel Florhof,8.54795,47.37248,3*,Florhofgasse,4,8001,Zürich,Switzerland,DoubleStandard,2021-06-10 13:30:00.000000,2021-06-11 12:00:00.000000,23,true,10,true,10,true,5,false,10,false,10,)</v>
      </c>
    </row>
    <row r="20" spans="1:29" ht="17" hidden="1" customHeight="1" x14ac:dyDescent="0.2">
      <c r="A20" s="3">
        <v>100018</v>
      </c>
      <c r="B20" s="3" t="s">
        <v>27</v>
      </c>
      <c r="C20" s="3" t="s">
        <v>99</v>
      </c>
      <c r="D20" s="5">
        <v>0.32021103779193655</v>
      </c>
      <c r="E20" s="3" t="s">
        <v>101</v>
      </c>
      <c r="F20" s="3" t="s">
        <v>100</v>
      </c>
      <c r="G20" s="3" t="s">
        <v>31</v>
      </c>
      <c r="H20" s="3" t="s">
        <v>102</v>
      </c>
      <c r="I20" s="3">
        <v>18</v>
      </c>
      <c r="J20" s="3">
        <v>8001</v>
      </c>
      <c r="K20" s="3" t="s">
        <v>33</v>
      </c>
      <c r="L20" s="3" t="s">
        <v>34</v>
      </c>
      <c r="M20" s="3"/>
      <c r="N20" s="3" t="s">
        <v>103</v>
      </c>
      <c r="O20" s="3" t="s">
        <v>36</v>
      </c>
      <c r="P20" s="3" t="s">
        <v>272</v>
      </c>
      <c r="Q20" s="3" t="s">
        <v>273</v>
      </c>
      <c r="R20" s="4">
        <v>27</v>
      </c>
      <c r="S20" s="3" t="s">
        <v>36</v>
      </c>
      <c r="T20" s="4">
        <v>10</v>
      </c>
      <c r="U20" s="3" t="s">
        <v>36</v>
      </c>
      <c r="V20" s="4">
        <v>10</v>
      </c>
      <c r="W20" s="3" t="s">
        <v>36</v>
      </c>
      <c r="X20" s="4">
        <v>5</v>
      </c>
      <c r="Y20" s="3" t="s">
        <v>37</v>
      </c>
      <c r="Z20" s="4">
        <v>10</v>
      </c>
      <c r="AA20" s="3" t="s">
        <v>37</v>
      </c>
      <c r="AB20" s="4">
        <v>10</v>
      </c>
      <c r="AC20" t="str">
        <f>_xlfn.TEXTJOIN(",",,"INSERT INTO assetList VALUES (",A20,B20,C20,F20,E20,G20,H20,I20,J20,K20,L20,N20,P20,Q20,R20,S20,T20,U20,V20,W20,X20,Y20,Z20,AA20,AB20,")")</f>
        <v>INSERT INTO assetList VALUES (,100018,Hotel,Hotel California,8.5446,47.36872,3*,Schifflände,18,8001,Zürich,Switzerland,DoubleBusiness,2021-06-11 14:00:00.000000,2021-06-12 17:00:00.000000,27,true,10,true,10,true,5,false,10,false,10,)</v>
      </c>
    </row>
    <row r="21" spans="1:29" ht="17" hidden="1" customHeight="1" x14ac:dyDescent="0.2">
      <c r="A21" s="3">
        <v>100014</v>
      </c>
      <c r="B21" s="3" t="s">
        <v>27</v>
      </c>
      <c r="C21" s="3" t="s">
        <v>84</v>
      </c>
      <c r="D21" s="5">
        <v>0.32324093551093008</v>
      </c>
      <c r="E21" s="3" t="s">
        <v>86</v>
      </c>
      <c r="F21" s="3" t="s">
        <v>85</v>
      </c>
      <c r="G21" s="3" t="s">
        <v>31</v>
      </c>
      <c r="H21" s="3" t="s">
        <v>87</v>
      </c>
      <c r="I21" s="3">
        <v>17</v>
      </c>
      <c r="J21" s="3">
        <v>8001</v>
      </c>
      <c r="K21" s="3" t="s">
        <v>33</v>
      </c>
      <c r="L21" s="3" t="s">
        <v>34</v>
      </c>
      <c r="M21" s="3"/>
      <c r="N21" s="3" t="s">
        <v>53</v>
      </c>
      <c r="O21" s="3" t="s">
        <v>36</v>
      </c>
      <c r="P21" s="3" t="s">
        <v>272</v>
      </c>
      <c r="Q21" s="3" t="s">
        <v>273</v>
      </c>
      <c r="R21" s="4">
        <v>25</v>
      </c>
      <c r="S21" s="3" t="s">
        <v>36</v>
      </c>
      <c r="T21" s="4">
        <v>10</v>
      </c>
      <c r="U21" s="3" t="s">
        <v>36</v>
      </c>
      <c r="V21" s="4">
        <v>10</v>
      </c>
      <c r="W21" s="3" t="s">
        <v>37</v>
      </c>
      <c r="X21" s="4">
        <v>5</v>
      </c>
      <c r="Y21" s="3" t="s">
        <v>37</v>
      </c>
      <c r="Z21" s="4">
        <v>10</v>
      </c>
      <c r="AA21" s="3" t="s">
        <v>37</v>
      </c>
      <c r="AB21" s="4">
        <v>10</v>
      </c>
      <c r="AC21" t="str">
        <f>_xlfn.TEXTJOIN(",",,"INSERT INTO assetList VALUES (",A21,B21,C21,F21,E21,G21,H21,I21,J21,K21,L21,N21,P21,Q21,R21,S21,T21,U21,V21,W21,X21,Y21,Z21,AA21,AB21,")")</f>
        <v>INSERT INTO assetList VALUES (,100014,Hotel,Hotel Scheuble,8.54488,47.37444,3*,Mühlegasse,17,8001,Zürich,Switzerland,DoubleStandard,2021-06-11 14:00:00.000000,2021-06-12 17:00:00.000000,25,true,10,true,10,false,5,false,10,false,10,)</v>
      </c>
    </row>
    <row r="22" spans="1:29" ht="17" customHeight="1" x14ac:dyDescent="0.2">
      <c r="A22" s="3" t="s">
        <v>243</v>
      </c>
      <c r="B22" s="3" t="s">
        <v>27</v>
      </c>
      <c r="C22" s="3" t="s">
        <v>50</v>
      </c>
      <c r="D22" s="5">
        <v>0.33168714991868831</v>
      </c>
      <c r="E22" s="3" t="s">
        <v>52</v>
      </c>
      <c r="F22" s="3" t="s">
        <v>51</v>
      </c>
      <c r="G22" s="3" t="s">
        <v>31</v>
      </c>
      <c r="H22" s="3" t="s">
        <v>41</v>
      </c>
      <c r="I22" s="3">
        <v>40</v>
      </c>
      <c r="J22" s="3">
        <v>8001</v>
      </c>
      <c r="K22" s="3" t="s">
        <v>33</v>
      </c>
      <c r="L22" s="3" t="s">
        <v>34</v>
      </c>
      <c r="M22" s="3"/>
      <c r="N22" s="3" t="s">
        <v>53</v>
      </c>
      <c r="O22" s="3" t="s">
        <v>36</v>
      </c>
      <c r="P22" s="3" t="s">
        <v>183</v>
      </c>
      <c r="Q22" s="3" t="s">
        <v>189</v>
      </c>
      <c r="R22" s="4">
        <v>23</v>
      </c>
      <c r="S22" s="3" t="s">
        <v>36</v>
      </c>
      <c r="T22" s="4">
        <v>10</v>
      </c>
      <c r="U22" s="3" t="s">
        <v>36</v>
      </c>
      <c r="V22" s="4">
        <v>10</v>
      </c>
      <c r="W22" s="3" t="s">
        <v>36</v>
      </c>
      <c r="X22" s="4">
        <v>5</v>
      </c>
      <c r="Y22" s="3" t="s">
        <v>37</v>
      </c>
      <c r="Z22" s="4">
        <v>10</v>
      </c>
      <c r="AA22" s="3" t="s">
        <v>36</v>
      </c>
      <c r="AB22" s="4">
        <v>10</v>
      </c>
      <c r="AC22" t="str">
        <f>_xlfn.TEXTJOIN(",",,"INSERT INTO assetList VALUES (",A22,B22,C22,F22,E22,G22,H22,I22,J22,K22,L22,N22,P22,Q22,R22,S22,T22,U22,V22,W22,X22,Y22,Z22,AA22,AB22,")")</f>
        <v>INSERT INTO assetList VALUES (,100005,Hotel,Hotel Alexander,8.5439,47.37456,3*,Niederdorfstrasse,40,8001,Zürich,Switzerland,DoubleStandard,2021-06-10 13:00:00.000000,2021-06-11 12:00:00.000000,23,true,10,true,10,true,5,false,10,true,10,)</v>
      </c>
    </row>
    <row r="23" spans="1:29" ht="17" hidden="1" customHeight="1" x14ac:dyDescent="0.2">
      <c r="A23" s="3">
        <v>100032</v>
      </c>
      <c r="B23" s="3" t="s">
        <v>27</v>
      </c>
      <c r="C23" s="3" t="s">
        <v>154</v>
      </c>
      <c r="D23" s="5">
        <v>0.33688645793086325</v>
      </c>
      <c r="E23" s="3" t="s">
        <v>156</v>
      </c>
      <c r="F23" s="3" t="s">
        <v>155</v>
      </c>
      <c r="G23" s="3" t="s">
        <v>118</v>
      </c>
      <c r="H23" s="3" t="s">
        <v>157</v>
      </c>
      <c r="I23" s="3">
        <v>7</v>
      </c>
      <c r="J23" s="3">
        <v>8001</v>
      </c>
      <c r="K23" s="3" t="s">
        <v>33</v>
      </c>
      <c r="L23" s="3" t="s">
        <v>34</v>
      </c>
      <c r="M23" s="3"/>
      <c r="N23" s="3" t="s">
        <v>143</v>
      </c>
      <c r="O23" s="3" t="s">
        <v>36</v>
      </c>
      <c r="P23" s="3" t="s">
        <v>188</v>
      </c>
      <c r="Q23" s="3" t="s">
        <v>190</v>
      </c>
      <c r="R23" s="4">
        <v>36</v>
      </c>
      <c r="S23" s="3" t="s">
        <v>36</v>
      </c>
      <c r="T23" s="4">
        <v>15</v>
      </c>
      <c r="U23" s="3" t="s">
        <v>36</v>
      </c>
      <c r="V23" s="4">
        <v>15</v>
      </c>
      <c r="W23" s="3" t="s">
        <v>37</v>
      </c>
      <c r="X23" s="4">
        <v>8</v>
      </c>
      <c r="Y23" s="3" t="s">
        <v>36</v>
      </c>
      <c r="Z23" s="4">
        <v>10</v>
      </c>
      <c r="AA23" s="3" t="s">
        <v>36</v>
      </c>
      <c r="AB23" s="4">
        <v>10</v>
      </c>
      <c r="AC23" t="str">
        <f>_xlfn.TEXTJOIN(",",,"INSERT INTO assetList VALUES (",A23,B23,C23,F23,E23,G23,H23,I23,J23,K23,L23,N23,P23,Q23,R23,S23,T23,U23,V23,W23,X23,Y23,Z23,AA23,AB23,")")</f>
        <v>INSERT INTO assetList VALUES (,100032,Hotel,Hotel Widder,8.53986,47.37253,5*,Rennweg,7,8001,Zürich,Switzerland,DoubleSuperior,2021-06-10 16:00:00.000000,2021-08-19 15:00:00.000000,36,true,15,true,15,false,8,true,10,true,10,)</v>
      </c>
    </row>
    <row r="24" spans="1:29" ht="17" hidden="1" customHeight="1" x14ac:dyDescent="0.2">
      <c r="A24" s="3" t="s">
        <v>244</v>
      </c>
      <c r="B24" s="3" t="s">
        <v>27</v>
      </c>
      <c r="C24" s="3" t="s">
        <v>115</v>
      </c>
      <c r="D24" s="5">
        <v>0.38316316634619502</v>
      </c>
      <c r="E24" s="3" t="s">
        <v>117</v>
      </c>
      <c r="F24" s="3" t="s">
        <v>116</v>
      </c>
      <c r="G24" s="3" t="s">
        <v>118</v>
      </c>
      <c r="H24" s="3" t="s">
        <v>119</v>
      </c>
      <c r="I24" s="3">
        <v>12</v>
      </c>
      <c r="J24" s="3">
        <v>8001</v>
      </c>
      <c r="K24" s="3" t="s">
        <v>33</v>
      </c>
      <c r="L24" s="3" t="s">
        <v>34</v>
      </c>
      <c r="M24" s="3"/>
      <c r="N24" s="3" t="s">
        <v>35</v>
      </c>
      <c r="O24" s="3" t="s">
        <v>36</v>
      </c>
      <c r="P24" s="3" t="s">
        <v>272</v>
      </c>
      <c r="Q24" s="3" t="s">
        <v>273</v>
      </c>
      <c r="R24" s="4">
        <v>30</v>
      </c>
      <c r="S24" s="3" t="s">
        <v>36</v>
      </c>
      <c r="T24" s="4">
        <v>12</v>
      </c>
      <c r="U24" s="3" t="s">
        <v>36</v>
      </c>
      <c r="V24" s="4">
        <v>15</v>
      </c>
      <c r="W24" s="3" t="s">
        <v>36</v>
      </c>
      <c r="X24" s="4">
        <v>8</v>
      </c>
      <c r="Y24" s="3" t="s">
        <v>36</v>
      </c>
      <c r="Z24" s="4">
        <v>10</v>
      </c>
      <c r="AA24" s="3" t="s">
        <v>36</v>
      </c>
      <c r="AB24" s="4">
        <v>10</v>
      </c>
      <c r="AC24" t="str">
        <f>_xlfn.TEXTJOIN(",",,"INSERT INTO assetList VALUES (",A24,B24,C24,F24,E24,G24,H24,I24,J24,K24,L24,N24,P24,Q24,R24,S24,T24,U24,V24,W24,X24,Y24,Z24,AA24,AB24,")")</f>
        <v>INSERT INTO assetList VALUES (,100022.1,Hotel,Hotel Savoy Baur en Ville,8.53961,47.36997,5*,Poststrasse,12,8001,Zürich,Switzerland,SingleStandard,2021-06-11 14:00:00.000000,2021-06-12 17:00:00.000000,30,true,12,true,15,true,8,true,10,true,10,)</v>
      </c>
    </row>
    <row r="25" spans="1:29" ht="17" hidden="1" customHeight="1" x14ac:dyDescent="0.2">
      <c r="A25" s="3" t="s">
        <v>245</v>
      </c>
      <c r="B25" s="3" t="s">
        <v>27</v>
      </c>
      <c r="C25" s="3" t="s">
        <v>115</v>
      </c>
      <c r="D25" s="5">
        <v>0.38316316634619502</v>
      </c>
      <c r="E25" s="3" t="s">
        <v>117</v>
      </c>
      <c r="F25" s="3" t="s">
        <v>116</v>
      </c>
      <c r="G25" s="3" t="s">
        <v>118</v>
      </c>
      <c r="H25" s="3" t="s">
        <v>119</v>
      </c>
      <c r="I25" s="3">
        <v>12</v>
      </c>
      <c r="J25" s="3">
        <v>8001</v>
      </c>
      <c r="K25" s="3" t="s">
        <v>33</v>
      </c>
      <c r="L25" s="3" t="s">
        <v>34</v>
      </c>
      <c r="M25" s="3"/>
      <c r="N25" s="3" t="s">
        <v>35</v>
      </c>
      <c r="O25" s="3" t="s">
        <v>36</v>
      </c>
      <c r="P25" s="3" t="s">
        <v>272</v>
      </c>
      <c r="Q25" s="3" t="s">
        <v>273</v>
      </c>
      <c r="R25" s="4">
        <v>31</v>
      </c>
      <c r="S25" s="3" t="s">
        <v>36</v>
      </c>
      <c r="T25" s="4">
        <v>12</v>
      </c>
      <c r="U25" s="3" t="s">
        <v>36</v>
      </c>
      <c r="V25" s="4">
        <v>15</v>
      </c>
      <c r="W25" s="3" t="s">
        <v>36</v>
      </c>
      <c r="X25" s="4">
        <v>8</v>
      </c>
      <c r="Y25" s="3" t="s">
        <v>36</v>
      </c>
      <c r="Z25" s="4">
        <v>10</v>
      </c>
      <c r="AA25" s="3" t="s">
        <v>36</v>
      </c>
      <c r="AB25" s="4">
        <v>10</v>
      </c>
      <c r="AC25" t="str">
        <f>_xlfn.TEXTJOIN(",",,"INSERT INTO assetList VALUES (",A25,B25,C25,F25,E25,G25,H25,I25,J25,K25,L25,N25,P25,Q25,R25,S25,T25,U25,V25,W25,X25,Y25,Z25,AA25,AB25,")")</f>
        <v>INSERT INTO assetList VALUES (,100022.2,Hotel,Hotel Savoy Baur en Ville,8.53961,47.36997,5*,Poststrasse,12,8001,Zürich,Switzerland,SingleStandard,2021-06-11 14:00:00.000000,2021-06-12 17:00:00.000000,31,true,12,true,15,true,8,true,10,true,10,)</v>
      </c>
    </row>
    <row r="26" spans="1:29" ht="17" hidden="1" customHeight="1" x14ac:dyDescent="0.2">
      <c r="A26" s="3" t="s">
        <v>246</v>
      </c>
      <c r="B26" s="3" t="s">
        <v>27</v>
      </c>
      <c r="C26" s="3" t="s">
        <v>115</v>
      </c>
      <c r="D26" s="5">
        <v>0.38316316634619502</v>
      </c>
      <c r="E26" s="3" t="s">
        <v>117</v>
      </c>
      <c r="F26" s="3" t="s">
        <v>116</v>
      </c>
      <c r="G26" s="3" t="s">
        <v>118</v>
      </c>
      <c r="H26" s="3" t="s">
        <v>119</v>
      </c>
      <c r="I26" s="3">
        <v>12</v>
      </c>
      <c r="J26" s="3">
        <v>8001</v>
      </c>
      <c r="K26" s="3" t="s">
        <v>33</v>
      </c>
      <c r="L26" s="3" t="s">
        <v>34</v>
      </c>
      <c r="M26" s="3"/>
      <c r="N26" s="3" t="s">
        <v>177</v>
      </c>
      <c r="O26" s="3" t="s">
        <v>36</v>
      </c>
      <c r="P26" s="3" t="s">
        <v>272</v>
      </c>
      <c r="Q26" s="3" t="s">
        <v>273</v>
      </c>
      <c r="R26" s="4">
        <v>33</v>
      </c>
      <c r="S26" s="3" t="s">
        <v>36</v>
      </c>
      <c r="T26" s="4">
        <v>15</v>
      </c>
      <c r="U26" s="3" t="s">
        <v>36</v>
      </c>
      <c r="V26" s="4">
        <v>17</v>
      </c>
      <c r="W26" s="3" t="s">
        <v>37</v>
      </c>
      <c r="X26" s="4">
        <v>8</v>
      </c>
      <c r="Y26" s="3" t="s">
        <v>36</v>
      </c>
      <c r="Z26" s="4">
        <v>10</v>
      </c>
      <c r="AA26" s="3" t="s">
        <v>36</v>
      </c>
      <c r="AB26" s="4">
        <v>10</v>
      </c>
      <c r="AC26" t="str">
        <f>_xlfn.TEXTJOIN(",",,"INSERT INTO assetList VALUES (",A26,B26,C26,F26,E26,G26,H26,I26,J26,K26,L26,N26,P26,Q26,R26,S26,T26,U26,V26,W26,X26,Y26,Z26,AA26,AB26,")")</f>
        <v>INSERT INTO assetList VALUES (,100022.3,Hotel,Hotel Savoy Baur en Ville,8.53961,47.36997,5*,Poststrasse,12,8001,Zürich,Switzerland,"DoubleStandard",2021-06-11 14:00:00.000000,2021-06-12 17:00:00.000000,33,true,15,true,17,false,8,true,10,true,10,)</v>
      </c>
    </row>
    <row r="27" spans="1:29" ht="17" hidden="1" customHeight="1" x14ac:dyDescent="0.2">
      <c r="A27" s="3" t="s">
        <v>247</v>
      </c>
      <c r="B27" s="3" t="s">
        <v>27</v>
      </c>
      <c r="C27" s="3" t="s">
        <v>115</v>
      </c>
      <c r="D27" s="5">
        <v>0.38316316634619502</v>
      </c>
      <c r="E27" s="3" t="s">
        <v>117</v>
      </c>
      <c r="F27" s="3" t="s">
        <v>116</v>
      </c>
      <c r="G27" s="3" t="s">
        <v>118</v>
      </c>
      <c r="H27" s="3" t="s">
        <v>119</v>
      </c>
      <c r="I27" s="3">
        <v>12</v>
      </c>
      <c r="J27" s="3">
        <v>8001</v>
      </c>
      <c r="K27" s="3" t="s">
        <v>33</v>
      </c>
      <c r="L27" s="3" t="s">
        <v>34</v>
      </c>
      <c r="M27" s="3"/>
      <c r="N27" s="3" t="s">
        <v>182</v>
      </c>
      <c r="O27" s="3" t="s">
        <v>36</v>
      </c>
      <c r="P27" s="3" t="s">
        <v>272</v>
      </c>
      <c r="Q27" s="3" t="s">
        <v>273</v>
      </c>
      <c r="R27" s="4">
        <v>35</v>
      </c>
      <c r="S27" s="3" t="s">
        <v>36</v>
      </c>
      <c r="T27" s="4">
        <v>17</v>
      </c>
      <c r="U27" s="3" t="s">
        <v>36</v>
      </c>
      <c r="V27" s="4">
        <v>17</v>
      </c>
      <c r="W27" s="3" t="s">
        <v>37</v>
      </c>
      <c r="X27" s="4">
        <v>8</v>
      </c>
      <c r="Y27" s="3" t="s">
        <v>36</v>
      </c>
      <c r="Z27" s="4">
        <v>10</v>
      </c>
      <c r="AA27" s="3" t="s">
        <v>36</v>
      </c>
      <c r="AB27" s="4">
        <v>10</v>
      </c>
      <c r="AC27" t="str">
        <f>_xlfn.TEXTJOIN(",",,"INSERT INTO assetList VALUES (",A27,B27,C27,F27,E27,G27,H27,I27,J27,K27,L27,N27,P27,Q27,R27,S27,T27,U27,V27,W27,X27,Y27,Z27,AA27,AB27,")")</f>
        <v>INSERT INTO assetList VALUES (,100022.4,Hotel,Hotel Savoy Baur en Ville,8.53961,47.36997,5*,Poststrasse,12,8001,Zürich,Switzerland,"DoubleBusiness",2021-06-11 14:00:00.000000,2021-06-12 17:00:00.000000,35,true,17,true,17,false,8,true,10,true,10,)</v>
      </c>
    </row>
    <row r="28" spans="1:29" ht="17" customHeight="1" x14ac:dyDescent="0.2">
      <c r="A28" s="3">
        <v>100010</v>
      </c>
      <c r="B28" s="3" t="s">
        <v>27</v>
      </c>
      <c r="C28" s="3" t="s">
        <v>70</v>
      </c>
      <c r="D28" s="5">
        <v>0.40711758076884591</v>
      </c>
      <c r="E28" s="3" t="s">
        <v>72</v>
      </c>
      <c r="F28" s="3" t="s">
        <v>71</v>
      </c>
      <c r="G28" s="3" t="s">
        <v>31</v>
      </c>
      <c r="H28" s="3" t="s">
        <v>49</v>
      </c>
      <c r="I28" s="3">
        <v>25</v>
      </c>
      <c r="J28" s="3">
        <v>8001</v>
      </c>
      <c r="K28" s="3" t="s">
        <v>33</v>
      </c>
      <c r="L28" s="3" t="s">
        <v>34</v>
      </c>
      <c r="M28" s="3"/>
      <c r="N28" s="3" t="s">
        <v>53</v>
      </c>
      <c r="O28" s="3" t="s">
        <v>36</v>
      </c>
      <c r="P28" s="3" t="s">
        <v>184</v>
      </c>
      <c r="Q28" s="3" t="s">
        <v>189</v>
      </c>
      <c r="R28" s="4">
        <v>25</v>
      </c>
      <c r="S28" s="3" t="s">
        <v>36</v>
      </c>
      <c r="T28" s="4">
        <v>10</v>
      </c>
      <c r="U28" s="3" t="s">
        <v>36</v>
      </c>
      <c r="V28" s="4">
        <v>10</v>
      </c>
      <c r="W28" s="3" t="s">
        <v>37</v>
      </c>
      <c r="X28" s="4">
        <v>5</v>
      </c>
      <c r="Y28" s="3" t="s">
        <v>37</v>
      </c>
      <c r="Z28" s="4">
        <v>10</v>
      </c>
      <c r="AA28" s="3" t="s">
        <v>36</v>
      </c>
      <c r="AB28" s="4">
        <v>10</v>
      </c>
      <c r="AC28" t="str">
        <f>_xlfn.TEXTJOIN(",",,"INSERT INTO assetList VALUES (",A28,B28,C28,F28,E28,G28,H28,I28,J28,K28,L28,N28,P28,Q28,R28,S28,T28,U28,V28,W28,X28,Y28,Z28,AA28,AB28,")")</f>
        <v>INSERT INTO assetList VALUES (,100010,Hotel,Hotel Felix Zürich,8.54454,47.37523,3*,Zähringerstrasse,25,8001,Zürich,Switzerland,DoubleStandard,2021-06-10 13:30:00.000000,2021-06-11 12:00:00.000000,25,true,10,true,10,false,5,false,10,true,10,)</v>
      </c>
    </row>
    <row r="29" spans="1:29" ht="17" hidden="1" customHeight="1" x14ac:dyDescent="0.2">
      <c r="A29" s="3">
        <v>100021</v>
      </c>
      <c r="B29" s="3" t="s">
        <v>27</v>
      </c>
      <c r="C29" s="3" t="s">
        <v>111</v>
      </c>
      <c r="D29" s="5">
        <v>0.43702939209506797</v>
      </c>
      <c r="E29" s="3" t="s">
        <v>113</v>
      </c>
      <c r="F29" s="3" t="s">
        <v>112</v>
      </c>
      <c r="G29" s="3" t="s">
        <v>31</v>
      </c>
      <c r="H29" s="3" t="s">
        <v>114</v>
      </c>
      <c r="I29" s="3">
        <v>64</v>
      </c>
      <c r="J29" s="3">
        <v>8001</v>
      </c>
      <c r="K29" s="3" t="s">
        <v>33</v>
      </c>
      <c r="L29" s="3" t="s">
        <v>34</v>
      </c>
      <c r="M29" s="3"/>
      <c r="N29" s="3" t="s">
        <v>103</v>
      </c>
      <c r="O29" s="3" t="s">
        <v>36</v>
      </c>
      <c r="P29" s="3" t="s">
        <v>272</v>
      </c>
      <c r="Q29" s="3" t="s">
        <v>273</v>
      </c>
      <c r="R29" s="4">
        <v>27</v>
      </c>
      <c r="S29" s="3" t="s">
        <v>36</v>
      </c>
      <c r="T29" s="4">
        <v>10</v>
      </c>
      <c r="U29" s="3" t="s">
        <v>36</v>
      </c>
      <c r="V29" s="4">
        <v>10</v>
      </c>
      <c r="W29" s="3" t="s">
        <v>36</v>
      </c>
      <c r="X29" s="4">
        <v>5</v>
      </c>
      <c r="Y29" s="3" t="s">
        <v>37</v>
      </c>
      <c r="Z29" s="4">
        <v>10</v>
      </c>
      <c r="AA29" s="3" t="s">
        <v>37</v>
      </c>
      <c r="AB29" s="4">
        <v>10</v>
      </c>
      <c r="AC29" t="str">
        <f>_xlfn.TEXTJOIN(",",,"INSERT INTO assetList VALUES (",A29,B29,C29,F29,E29,G29,H29,I29,J29,K29,L29,N29,P29,Q29,R29,S29,T29,U29,V29,W29,X29,Y29,Z29,AA29,AB29,")")</f>
        <v>INSERT INTO assetList VALUES (,100021,Hotel,Hotel St. Josef,8.5458,47.37534,3*,Hirschengraben,64,8001,Zürich,Switzerland,DoubleBusiness,2021-06-11 14:00:00.000000,2021-06-12 17:00:00.000000,27,true,10,true,10,true,5,false,10,false,10,)</v>
      </c>
    </row>
    <row r="30" spans="1:29" ht="17" hidden="1" customHeight="1" x14ac:dyDescent="0.2">
      <c r="A30" s="3">
        <v>100017</v>
      </c>
      <c r="B30" s="3" t="s">
        <v>27</v>
      </c>
      <c r="C30" s="3" t="s">
        <v>96</v>
      </c>
      <c r="D30" s="5">
        <v>0.45616059549816956</v>
      </c>
      <c r="E30" s="3" t="s">
        <v>98</v>
      </c>
      <c r="F30" s="3" t="s">
        <v>97</v>
      </c>
      <c r="G30" s="3" t="s">
        <v>31</v>
      </c>
      <c r="H30" s="3" t="s">
        <v>49</v>
      </c>
      <c r="I30" s="3">
        <v>21</v>
      </c>
      <c r="J30" s="3">
        <v>8001</v>
      </c>
      <c r="K30" s="3" t="s">
        <v>33</v>
      </c>
      <c r="L30" s="3" t="s">
        <v>34</v>
      </c>
      <c r="M30" s="3"/>
      <c r="N30" s="3" t="s">
        <v>53</v>
      </c>
      <c r="O30" s="3" t="s">
        <v>36</v>
      </c>
      <c r="P30" s="3" t="s">
        <v>272</v>
      </c>
      <c r="Q30" s="3" t="s">
        <v>273</v>
      </c>
      <c r="R30" s="4">
        <v>25</v>
      </c>
      <c r="S30" s="3" t="s">
        <v>36</v>
      </c>
      <c r="T30" s="4">
        <v>10</v>
      </c>
      <c r="U30" s="3" t="s">
        <v>36</v>
      </c>
      <c r="V30" s="4">
        <v>10</v>
      </c>
      <c r="W30" s="3" t="s">
        <v>36</v>
      </c>
      <c r="X30" s="4">
        <v>5</v>
      </c>
      <c r="Y30" s="3" t="s">
        <v>37</v>
      </c>
      <c r="Z30" s="4">
        <v>10</v>
      </c>
      <c r="AA30" s="3" t="s">
        <v>37</v>
      </c>
      <c r="AB30" s="4">
        <v>10</v>
      </c>
      <c r="AC30" t="str">
        <f>_xlfn.TEXTJOIN(",",,"INSERT INTO assetList VALUES (",A30,B30,C30,F30,E30,G30,H30,I30,J30,K30,L30,N30,P30,Q30,R30,S30,T30,U30,V30,W30,X30,Y30,Z30,AA30,AB30,")")</f>
        <v>INSERT INTO assetList VALUES (,100017,Hotel,Hotel Zürcherhof Beste Western Plus,8.54433,47.37568,3*,Zähringerstrasse,21,8001,Zürich,Switzerland,DoubleStandard,2021-06-11 14:00:00.000000,2021-06-12 17:00:00.000000,25,true,10,true,10,true,5,false,10,false,10,)</v>
      </c>
    </row>
    <row r="31" spans="1:29" ht="17" customHeight="1" x14ac:dyDescent="0.2">
      <c r="A31" s="3" t="s">
        <v>196</v>
      </c>
      <c r="B31" s="3" t="s">
        <v>27</v>
      </c>
      <c r="C31" s="3" t="s">
        <v>46</v>
      </c>
      <c r="D31" s="5">
        <v>0.510039250969478</v>
      </c>
      <c r="E31" s="3" t="s">
        <v>48</v>
      </c>
      <c r="F31" s="3" t="s">
        <v>47</v>
      </c>
      <c r="G31" s="3" t="s">
        <v>31</v>
      </c>
      <c r="H31" s="3" t="s">
        <v>49</v>
      </c>
      <c r="I31" s="3">
        <v>43</v>
      </c>
      <c r="J31" s="3">
        <v>8001</v>
      </c>
      <c r="K31" s="3" t="s">
        <v>33</v>
      </c>
      <c r="L31" s="3" t="s">
        <v>34</v>
      </c>
      <c r="M31" s="3"/>
      <c r="N31" s="3" t="s">
        <v>35</v>
      </c>
      <c r="O31" s="3" t="s">
        <v>36</v>
      </c>
      <c r="P31" s="3" t="s">
        <v>183</v>
      </c>
      <c r="Q31" s="3" t="s">
        <v>189</v>
      </c>
      <c r="R31" s="4">
        <v>20</v>
      </c>
      <c r="S31" s="3" t="s">
        <v>36</v>
      </c>
      <c r="T31" s="4">
        <v>10</v>
      </c>
      <c r="U31" s="3" t="s">
        <v>36</v>
      </c>
      <c r="V31" s="4">
        <v>10</v>
      </c>
      <c r="W31" s="3" t="s">
        <v>36</v>
      </c>
      <c r="X31" s="4">
        <v>5</v>
      </c>
      <c r="Y31" s="3" t="s">
        <v>37</v>
      </c>
      <c r="Z31" s="4">
        <v>10</v>
      </c>
      <c r="AA31" s="3" t="s">
        <v>36</v>
      </c>
      <c r="AB31" s="4">
        <v>10</v>
      </c>
      <c r="AC31" t="str">
        <f>_xlfn.TEXTJOIN(",",,"INSERT INTO assetList VALUES (",A31,B31,C31,F31,E31,G31,H31,I31,J31,K31,L31,N31,P31,Q31,R31,S31,T31,U31,V31,W31,X31,Y31,Z31,AA31,AB31,")")</f>
        <v>INSERT INTO assetList VALUES (,100004.1,Hotel,Hotel Sorell Rüti,8.54449,47.37616,3*,Zähringerstrasse,43,8001,Zürich,Switzerland,SingleStandard,2021-06-10 13:00:00.000000,2021-06-11 12:00:00.000000,20,true,10,true,10,true,5,false,10,true,10,)</v>
      </c>
    </row>
    <row r="32" spans="1:29" ht="17" customHeight="1" x14ac:dyDescent="0.2">
      <c r="A32" s="3" t="s">
        <v>201</v>
      </c>
      <c r="B32" s="3" t="s">
        <v>27</v>
      </c>
      <c r="C32" s="3" t="s">
        <v>46</v>
      </c>
      <c r="D32" s="5">
        <v>0.510039250969478</v>
      </c>
      <c r="E32" s="3" t="s">
        <v>48</v>
      </c>
      <c r="F32" s="3" t="s">
        <v>47</v>
      </c>
      <c r="G32" s="3" t="s">
        <v>31</v>
      </c>
      <c r="H32" s="3" t="s">
        <v>49</v>
      </c>
      <c r="I32" s="3">
        <v>43</v>
      </c>
      <c r="J32" s="3">
        <v>8001</v>
      </c>
      <c r="K32" s="3" t="s">
        <v>33</v>
      </c>
      <c r="L32" s="3" t="s">
        <v>34</v>
      </c>
      <c r="M32" s="3"/>
      <c r="N32" s="3" t="s">
        <v>103</v>
      </c>
      <c r="O32" s="3" t="s">
        <v>36</v>
      </c>
      <c r="P32" s="3" t="s">
        <v>183</v>
      </c>
      <c r="Q32" s="3" t="s">
        <v>189</v>
      </c>
      <c r="R32" s="4">
        <v>30</v>
      </c>
      <c r="S32" s="3" t="s">
        <v>36</v>
      </c>
      <c r="T32" s="4">
        <v>10</v>
      </c>
      <c r="U32" s="3" t="s">
        <v>36</v>
      </c>
      <c r="V32" s="4">
        <v>10</v>
      </c>
      <c r="W32" s="3" t="s">
        <v>36</v>
      </c>
      <c r="X32" s="4">
        <v>5</v>
      </c>
      <c r="Y32" s="3" t="s">
        <v>37</v>
      </c>
      <c r="Z32" s="4">
        <v>10</v>
      </c>
      <c r="AA32" s="3" t="s">
        <v>36</v>
      </c>
      <c r="AB32" s="4">
        <v>10</v>
      </c>
      <c r="AC32" t="str">
        <f>_xlfn.TEXTJOIN(",",,"INSERT INTO assetList VALUES (",A32,B32,C32,F32,E32,G32,H32,I32,J32,K32,L32,N32,P32,Q32,R32,S32,T32,U32,V32,W32,X32,Y32,Z32,AA32,AB32,")")</f>
        <v>INSERT INTO assetList VALUES (,100004.2,Hotel,Hotel Sorell Rüti,8.54449,47.37616,3*,Zähringerstrasse,43,8001,Zürich,Switzerland,DoubleBusiness,2021-06-10 13:00:00.000000,2021-06-11 12:00:00.000000,30,true,10,true,10,true,5,false,10,true,10,)</v>
      </c>
    </row>
    <row r="33" spans="1:39" ht="17" customHeight="1" x14ac:dyDescent="0.2">
      <c r="A33" s="3" t="s">
        <v>248</v>
      </c>
      <c r="B33" s="3" t="s">
        <v>27</v>
      </c>
      <c r="C33" s="3" t="s">
        <v>134</v>
      </c>
      <c r="D33" s="5">
        <v>0.510039250969478</v>
      </c>
      <c r="E33" s="3" t="s">
        <v>48</v>
      </c>
      <c r="F33" s="3" t="s">
        <v>47</v>
      </c>
      <c r="G33" s="3" t="s">
        <v>124</v>
      </c>
      <c r="H33" s="3" t="s">
        <v>135</v>
      </c>
      <c r="I33" s="3">
        <v>1</v>
      </c>
      <c r="J33" s="3">
        <v>8006</v>
      </c>
      <c r="K33" s="3" t="s">
        <v>33</v>
      </c>
      <c r="L33" s="3" t="s">
        <v>34</v>
      </c>
      <c r="M33" s="3"/>
      <c r="N33" s="3" t="s">
        <v>35</v>
      </c>
      <c r="O33" s="3" t="s">
        <v>36</v>
      </c>
      <c r="P33" s="3" t="s">
        <v>187</v>
      </c>
      <c r="Q33" s="3" t="s">
        <v>190</v>
      </c>
      <c r="R33" s="4">
        <v>32</v>
      </c>
      <c r="S33" s="3" t="s">
        <v>36</v>
      </c>
      <c r="T33" s="4">
        <v>12</v>
      </c>
      <c r="U33" s="3" t="s">
        <v>36</v>
      </c>
      <c r="V33" s="4">
        <v>12</v>
      </c>
      <c r="W33" s="3" t="s">
        <v>37</v>
      </c>
      <c r="X33" s="4">
        <v>8</v>
      </c>
      <c r="Y33" s="3" t="s">
        <v>36</v>
      </c>
      <c r="Z33" s="4">
        <v>10</v>
      </c>
      <c r="AA33" s="3" t="s">
        <v>36</v>
      </c>
      <c r="AB33" s="4">
        <v>10</v>
      </c>
      <c r="AC33" t="str">
        <f>_xlfn.TEXTJOIN(",",,"INSERT INTO assetList VALUES (",A33,B33,C33,F33,E33,G33,H33,I33,J33,K33,L33,N33,P33,Q33,R33,S33,T33,U33,V33,W33,X33,Y33,Z33,AA33,AB33,")")</f>
        <v>INSERT INTO assetList VALUES (,100026.1,Hotel,Hotel EMA House Suites,8.54449,47.37616,4*,Nordstrasse,1,8006,Zürich,Switzerland,SingleStandard,2021-06-10 15:00:00.000000,2021-08-19 15:00:00.000000,32,true,12,true,12,false,8,true,10,true,10,)</v>
      </c>
    </row>
    <row r="34" spans="1:39" ht="17" customHeight="1" x14ac:dyDescent="0.2">
      <c r="A34" s="3" t="s">
        <v>249</v>
      </c>
      <c r="B34" s="3" t="s">
        <v>27</v>
      </c>
      <c r="C34" s="3" t="s">
        <v>134</v>
      </c>
      <c r="D34" s="5">
        <v>0.510039250969478</v>
      </c>
      <c r="E34" s="3" t="s">
        <v>48</v>
      </c>
      <c r="F34" s="3" t="s">
        <v>47</v>
      </c>
      <c r="G34" s="3" t="s">
        <v>124</v>
      </c>
      <c r="H34" s="3" t="s">
        <v>135</v>
      </c>
      <c r="I34" s="3">
        <v>1</v>
      </c>
      <c r="J34" s="3">
        <v>8006</v>
      </c>
      <c r="K34" s="3" t="s">
        <v>33</v>
      </c>
      <c r="L34" s="3" t="s">
        <v>34</v>
      </c>
      <c r="M34" s="3"/>
      <c r="N34" s="3" t="s">
        <v>53</v>
      </c>
      <c r="O34" s="3" t="s">
        <v>36</v>
      </c>
      <c r="P34" s="3" t="s">
        <v>187</v>
      </c>
      <c r="Q34" s="3" t="s">
        <v>190</v>
      </c>
      <c r="R34" s="4">
        <v>34</v>
      </c>
      <c r="S34" s="3" t="s">
        <v>36</v>
      </c>
      <c r="T34" s="4">
        <v>15</v>
      </c>
      <c r="U34" s="3" t="s">
        <v>36</v>
      </c>
      <c r="V34" s="4">
        <v>15</v>
      </c>
      <c r="W34" s="3" t="s">
        <v>37</v>
      </c>
      <c r="X34" s="4">
        <v>8</v>
      </c>
      <c r="Y34" s="3" t="s">
        <v>36</v>
      </c>
      <c r="Z34" s="4">
        <v>10</v>
      </c>
      <c r="AA34" s="3" t="s">
        <v>36</v>
      </c>
      <c r="AB34" s="4">
        <v>10</v>
      </c>
      <c r="AC34" t="str">
        <f>_xlfn.TEXTJOIN(",",,"INSERT INTO assetList VALUES (",A34,B34,C34,F34,E34,G34,H34,I34,J34,K34,L34,N34,P34,Q34,R34,S34,T34,U34,V34,W34,X34,Y34,Z34,AA34,AB34,")")</f>
        <v>INSERT INTO assetList VALUES (,100026.2,Hotel,Hotel EMA House Suites,8.54449,47.37616,4*,Nordstrasse,1,8006,Zürich,Switzerland,DoubleStandard,2021-06-10 15:00:00.000000,2021-08-19 15:00:00.000000,34,true,15,true,15,false,8,true,10,true,10,)</v>
      </c>
    </row>
    <row r="35" spans="1:39" ht="17" customHeight="1" x14ac:dyDescent="0.2">
      <c r="A35" s="3">
        <v>100028</v>
      </c>
      <c r="B35" s="3" t="s">
        <v>27</v>
      </c>
      <c r="C35" s="3" t="s">
        <v>140</v>
      </c>
      <c r="D35" s="5">
        <v>0.57513379304724821</v>
      </c>
      <c r="E35" s="3" t="s">
        <v>68</v>
      </c>
      <c r="F35" s="3" t="s">
        <v>141</v>
      </c>
      <c r="G35" s="3" t="s">
        <v>124</v>
      </c>
      <c r="H35" s="3" t="s">
        <v>142</v>
      </c>
      <c r="I35" s="3">
        <v>31</v>
      </c>
      <c r="J35" s="3">
        <v>8001</v>
      </c>
      <c r="K35" s="3" t="s">
        <v>33</v>
      </c>
      <c r="L35" s="3" t="s">
        <v>34</v>
      </c>
      <c r="M35" s="3"/>
      <c r="N35" s="3" t="s">
        <v>143</v>
      </c>
      <c r="O35" s="3" t="s">
        <v>36</v>
      </c>
      <c r="P35" s="3" t="s">
        <v>187</v>
      </c>
      <c r="Q35" s="3" t="s">
        <v>190</v>
      </c>
      <c r="R35" s="4">
        <v>34</v>
      </c>
      <c r="S35" s="3" t="s">
        <v>36</v>
      </c>
      <c r="T35" s="4">
        <v>15</v>
      </c>
      <c r="U35" s="3" t="s">
        <v>36</v>
      </c>
      <c r="V35" s="4">
        <v>15</v>
      </c>
      <c r="W35" s="3" t="s">
        <v>37</v>
      </c>
      <c r="X35" s="4">
        <v>8</v>
      </c>
      <c r="Y35" s="3" t="s">
        <v>36</v>
      </c>
      <c r="Z35" s="4">
        <v>10</v>
      </c>
      <c r="AA35" s="3" t="s">
        <v>36</v>
      </c>
      <c r="AB35" s="4">
        <v>10</v>
      </c>
      <c r="AC35" t="str">
        <f>_xlfn.TEXTJOIN(",",,"INSERT INTO assetList VALUES (",A35,B35,C35,F35,E35,G35,H35,I35,J35,K35,L35,N35,P35,Q35,R35,S35,T35,U35,V35,W35,X35,Y35,Z35,AA35,AB35,")")</f>
        <v>INSERT INTO assetList VALUES (,100028,Hotel,Hotel Glockenhof Zürich,8.53685,47.37319,4*,Sihlstrasse,31,8001,Zürich,Switzerland,DoubleSuperior,2021-06-10 15:00:00.000000,2021-08-19 15:00:00.000000,34,true,15,true,15,false,8,true,10,true,10,)</v>
      </c>
    </row>
    <row r="36" spans="1:39" ht="17" customHeight="1" x14ac:dyDescent="0.2">
      <c r="A36" s="3">
        <v>100025</v>
      </c>
      <c r="B36" s="3" t="s">
        <v>27</v>
      </c>
      <c r="C36" s="3" t="s">
        <v>130</v>
      </c>
      <c r="D36" s="5">
        <v>0.6071750428662136</v>
      </c>
      <c r="E36" s="3" t="s">
        <v>132</v>
      </c>
      <c r="F36" s="3" t="s">
        <v>131</v>
      </c>
      <c r="G36" s="3" t="s">
        <v>124</v>
      </c>
      <c r="H36" s="3" t="s">
        <v>133</v>
      </c>
      <c r="I36" s="3">
        <v>1</v>
      </c>
      <c r="J36" s="3">
        <v>8001</v>
      </c>
      <c r="K36" s="3" t="s">
        <v>33</v>
      </c>
      <c r="L36" s="3" t="s">
        <v>34</v>
      </c>
      <c r="M36" s="3"/>
      <c r="N36" s="3" t="s">
        <v>53</v>
      </c>
      <c r="O36" s="3" t="s">
        <v>36</v>
      </c>
      <c r="P36" s="3" t="s">
        <v>187</v>
      </c>
      <c r="Q36" s="3" t="s">
        <v>190</v>
      </c>
      <c r="R36" s="4">
        <v>32</v>
      </c>
      <c r="S36" s="3" t="s">
        <v>36</v>
      </c>
      <c r="T36" s="4">
        <v>15</v>
      </c>
      <c r="U36" s="3" t="s">
        <v>36</v>
      </c>
      <c r="V36" s="4">
        <v>15</v>
      </c>
      <c r="W36" s="3" t="s">
        <v>37</v>
      </c>
      <c r="X36" s="4">
        <v>8</v>
      </c>
      <c r="Y36" s="3" t="s">
        <v>36</v>
      </c>
      <c r="Z36" s="4">
        <v>10</v>
      </c>
      <c r="AA36" s="3" t="s">
        <v>36</v>
      </c>
      <c r="AB36" s="4">
        <v>10</v>
      </c>
      <c r="AC36" t="str">
        <f>_xlfn.TEXTJOIN(",",,"INSERT INTO assetList VALUES (",A36,B36,C36,F36,E36,G36,H36,I36,J36,K36,L36,N36,P36,Q36,R36,S36,T36,U36,V36,W36,X36,Y36,Z36,AA36,AB36,")")</f>
        <v>INSERT INTO assetList VALUES (,100025,Hotel,Hotel Central Plaza,8.5436,47.37703,4*,Central,1,8001,Zürich,Switzerland,DoubleStandard,2021-06-10 15:00:00.000000,2021-08-19 15:00:00.000000,32,true,15,true,15,false,8,true,10,true,10,)</v>
      </c>
    </row>
    <row r="37" spans="1:39" ht="17" hidden="1" customHeight="1" x14ac:dyDescent="0.2">
      <c r="A37" s="3">
        <v>100015</v>
      </c>
      <c r="B37" s="3" t="s">
        <v>27</v>
      </c>
      <c r="C37" s="3" t="s">
        <v>88</v>
      </c>
      <c r="D37" s="5">
        <v>0.60749245192638679</v>
      </c>
      <c r="E37" s="3" t="s">
        <v>90</v>
      </c>
      <c r="F37" s="3" t="s">
        <v>89</v>
      </c>
      <c r="G37" s="3" t="s">
        <v>31</v>
      </c>
      <c r="H37" s="3" t="s">
        <v>91</v>
      </c>
      <c r="I37" s="3">
        <v>7</v>
      </c>
      <c r="J37" s="3">
        <v>8001</v>
      </c>
      <c r="K37" s="3" t="s">
        <v>33</v>
      </c>
      <c r="L37" s="3" t="s">
        <v>34</v>
      </c>
      <c r="M37" s="3"/>
      <c r="N37" s="3" t="s">
        <v>53</v>
      </c>
      <c r="O37" s="3" t="s">
        <v>36</v>
      </c>
      <c r="P37" s="3" t="s">
        <v>272</v>
      </c>
      <c r="Q37" s="3" t="s">
        <v>273</v>
      </c>
      <c r="R37" s="4">
        <v>25</v>
      </c>
      <c r="S37" s="3" t="s">
        <v>36</v>
      </c>
      <c r="T37" s="4">
        <v>10</v>
      </c>
      <c r="U37" s="3" t="s">
        <v>36</v>
      </c>
      <c r="V37" s="4">
        <v>10</v>
      </c>
      <c r="W37" s="3" t="s">
        <v>37</v>
      </c>
      <c r="X37" s="4">
        <v>5</v>
      </c>
      <c r="Y37" s="3" t="s">
        <v>37</v>
      </c>
      <c r="Z37" s="4">
        <v>10</v>
      </c>
      <c r="AA37" s="3" t="s">
        <v>37</v>
      </c>
      <c r="AB37" s="4">
        <v>10</v>
      </c>
      <c r="AC37" t="str">
        <f>_xlfn.TEXTJOIN(",",,"INSERT INTO assetList VALUES (",A37,B37,C37,F37,E37,G37,H37,I37,J37,K37,L37,N37,P37,Q37,R37,S37,T37,U37,V37,W37,X37,Y37,Z37,AA37,AB37,")")</f>
        <v>INSERT INTO assetList VALUES (,100015,Hotel,Hotel Townhouse,8.54007,47.37631,3*,Schützengasse,7,8001,Zürich,Switzerland,DoubleStandard,2021-06-11 14:00:00.000000,2021-06-12 17:00:00.000000,25,true,10,true,10,false,5,false,10,false,10,)</v>
      </c>
    </row>
    <row r="38" spans="1:39" ht="17" hidden="1" customHeight="1" x14ac:dyDescent="0.2">
      <c r="A38" s="3">
        <v>100031</v>
      </c>
      <c r="B38" s="3" t="s">
        <v>27</v>
      </c>
      <c r="C38" s="3" t="s">
        <v>150</v>
      </c>
      <c r="D38" s="5">
        <v>0.64391768457845366</v>
      </c>
      <c r="E38" s="3" t="s">
        <v>152</v>
      </c>
      <c r="F38" s="3" t="s">
        <v>151</v>
      </c>
      <c r="G38" s="3" t="s">
        <v>124</v>
      </c>
      <c r="H38" s="3" t="s">
        <v>153</v>
      </c>
      <c r="I38" s="3">
        <v>87</v>
      </c>
      <c r="J38" s="3">
        <v>8001</v>
      </c>
      <c r="K38" s="3" t="s">
        <v>33</v>
      </c>
      <c r="L38" s="3" t="s">
        <v>34</v>
      </c>
      <c r="M38" s="3"/>
      <c r="N38" s="3" t="s">
        <v>103</v>
      </c>
      <c r="O38" s="3" t="s">
        <v>36</v>
      </c>
      <c r="P38" s="3" t="s">
        <v>188</v>
      </c>
      <c r="Q38" s="3" t="s">
        <v>190</v>
      </c>
      <c r="R38" s="4">
        <v>36</v>
      </c>
      <c r="S38" s="3" t="s">
        <v>36</v>
      </c>
      <c r="T38" s="4">
        <v>15</v>
      </c>
      <c r="U38" s="3" t="s">
        <v>36</v>
      </c>
      <c r="V38" s="4">
        <v>15</v>
      </c>
      <c r="W38" s="3" t="s">
        <v>37</v>
      </c>
      <c r="X38" s="4">
        <v>8</v>
      </c>
      <c r="Y38" s="3" t="s">
        <v>36</v>
      </c>
      <c r="Z38" s="4">
        <v>10</v>
      </c>
      <c r="AA38" s="3" t="s">
        <v>36</v>
      </c>
      <c r="AB38" s="4">
        <v>10</v>
      </c>
      <c r="AC38" t="str">
        <f>_xlfn.TEXTJOIN(",",,"INSERT INTO assetList VALUES (",A38,B38,C38,F38,E38,G38,H38,I38,J38,K38,L38,N38,P38,Q38,R38,S38,T38,U38,V38,W38,X38,Y38,Z38,AA38,AB38,")")</f>
        <v>INSERT INTO assetList VALUES (,100031,Hotel,Hotel St. Gothard,8.53939,47.37641,4*,Bahnhofstrasse,87,8001,Zürich,Switzerland,DoubleBusiness,2021-06-10 16:00:00.000000,2021-08-19 15:00:00.000000,36,true,15,true,15,false,8,true,10,true,10,)</v>
      </c>
    </row>
    <row r="39" spans="1:39" ht="17" customHeight="1" x14ac:dyDescent="0.2">
      <c r="A39" s="3">
        <v>100023</v>
      </c>
      <c r="B39" s="3" t="s">
        <v>27</v>
      </c>
      <c r="C39" s="3" t="s">
        <v>121</v>
      </c>
      <c r="D39" s="5">
        <v>0.69440367881610499</v>
      </c>
      <c r="E39" s="3" t="s">
        <v>123</v>
      </c>
      <c r="F39" s="3" t="s">
        <v>122</v>
      </c>
      <c r="G39" s="3" t="s">
        <v>124</v>
      </c>
      <c r="H39" s="3" t="s">
        <v>125</v>
      </c>
      <c r="I39" s="3">
        <v>7</v>
      </c>
      <c r="J39" s="3">
        <v>8001</v>
      </c>
      <c r="K39" s="3" t="s">
        <v>33</v>
      </c>
      <c r="L39" s="3" t="s">
        <v>34</v>
      </c>
      <c r="M39" s="3"/>
      <c r="N39" s="3" t="s">
        <v>35</v>
      </c>
      <c r="O39" s="3" t="s">
        <v>36</v>
      </c>
      <c r="P39" s="3" t="s">
        <v>186</v>
      </c>
      <c r="Q39" s="3" t="s">
        <v>190</v>
      </c>
      <c r="R39" s="4">
        <v>30</v>
      </c>
      <c r="S39" s="3" t="s">
        <v>36</v>
      </c>
      <c r="T39" s="4">
        <v>15</v>
      </c>
      <c r="U39" s="3" t="s">
        <v>36</v>
      </c>
      <c r="V39" s="4">
        <v>15</v>
      </c>
      <c r="W39" s="3" t="s">
        <v>37</v>
      </c>
      <c r="X39" s="4">
        <v>8</v>
      </c>
      <c r="Y39" s="3" t="s">
        <v>36</v>
      </c>
      <c r="Z39" s="4">
        <v>10</v>
      </c>
      <c r="AA39" s="3" t="s">
        <v>36</v>
      </c>
      <c r="AB39" s="4">
        <v>10</v>
      </c>
      <c r="AC39" t="str">
        <f>_xlfn.TEXTJOIN(",",,"INSERT INTO assetList VALUES (",A39,B39,C39,F39,E39,G39,H39,I39,J39,K39,L39,N39,P39,Q39,R39,S39,T39,U39,V39,W39,X39,Y39,Z39,AA39,AB39,")")</f>
        <v>INSERT INTO assetList VALUES (,100023,Hotel,Hotel Schweizerhof,8.53945,47.37697,4*,Bahnhofplatz,7,8001,Zürich,Switzerland,SingleStandard,2021-06-10 14:45:00.000000,2021-08-19 15:00:00.000000,30,true,15,true,15,false,8,true,10,true,10,)</v>
      </c>
    </row>
    <row r="40" spans="1:39" ht="17" customHeight="1" x14ac:dyDescent="0.2">
      <c r="A40" s="3" t="s">
        <v>195</v>
      </c>
      <c r="B40" s="3" t="s">
        <v>27</v>
      </c>
      <c r="C40" s="3" t="s">
        <v>42</v>
      </c>
      <c r="D40" s="5">
        <v>0.73608049632420836</v>
      </c>
      <c r="E40" s="3" t="s">
        <v>44</v>
      </c>
      <c r="F40" s="3" t="s">
        <v>43</v>
      </c>
      <c r="G40" s="3" t="s">
        <v>31</v>
      </c>
      <c r="H40" s="3" t="s">
        <v>45</v>
      </c>
      <c r="I40" s="3">
        <v>26</v>
      </c>
      <c r="J40" s="3">
        <v>8032</v>
      </c>
      <c r="K40" s="3" t="s">
        <v>33</v>
      </c>
      <c r="L40" s="3" t="s">
        <v>34</v>
      </c>
      <c r="M40" s="3"/>
      <c r="N40" s="3" t="s">
        <v>161</v>
      </c>
      <c r="O40" s="3" t="s">
        <v>36</v>
      </c>
      <c r="P40" s="3" t="s">
        <v>183</v>
      </c>
      <c r="Q40" s="3" t="s">
        <v>189</v>
      </c>
      <c r="R40" s="4">
        <v>29</v>
      </c>
      <c r="S40" s="3" t="s">
        <v>36</v>
      </c>
      <c r="T40" s="4">
        <v>10</v>
      </c>
      <c r="U40" s="3" t="s">
        <v>36</v>
      </c>
      <c r="V40" s="4">
        <v>10</v>
      </c>
      <c r="W40" s="3" t="s">
        <v>37</v>
      </c>
      <c r="X40" s="4">
        <v>5</v>
      </c>
      <c r="Y40" s="3" t="s">
        <v>36</v>
      </c>
      <c r="Z40" s="4">
        <v>10</v>
      </c>
      <c r="AA40" s="3" t="s">
        <v>37</v>
      </c>
      <c r="AB40" s="4">
        <v>10</v>
      </c>
      <c r="AC40" t="str">
        <f>_xlfn.TEXTJOIN(",",,"INSERT INTO assetList VALUES (",A40,B40,C40,F40,E40,G40,H40,I40,J40,K40,L40,N40,P40,Q40,R40,S40,T40,U40,V40,W40,X40,Y40,Z40,AA40,AB40,")")</f>
        <v>INSERT INTO assetList VALUES (,100003.1,Hotel,Hotel Plattenhof,8.55302,47.3743,3*,Plattenstrasse,26,8032,Zürich,Switzerland,JuniorSuite,2021-06-10 13:00:00.000000,2021-06-11 12:00:00.000000,29,true,10,true,10,false,5,true,10,false,10,)</v>
      </c>
    </row>
    <row r="41" spans="1:39" ht="17" customHeight="1" x14ac:dyDescent="0.2">
      <c r="A41" s="3" t="s">
        <v>200</v>
      </c>
      <c r="B41" s="3" t="s">
        <v>27</v>
      </c>
      <c r="C41" s="3" t="s">
        <v>42</v>
      </c>
      <c r="D41" s="5">
        <v>0.73608049632420836</v>
      </c>
      <c r="E41" s="3" t="s">
        <v>44</v>
      </c>
      <c r="F41" s="3" t="s">
        <v>43</v>
      </c>
      <c r="G41" s="3" t="s">
        <v>31</v>
      </c>
      <c r="H41" s="3" t="s">
        <v>45</v>
      </c>
      <c r="I41" s="3">
        <v>26</v>
      </c>
      <c r="J41" s="3">
        <v>8032</v>
      </c>
      <c r="K41" s="3" t="s">
        <v>33</v>
      </c>
      <c r="L41" s="3" t="s">
        <v>34</v>
      </c>
      <c r="M41" s="3"/>
      <c r="N41" s="3" t="s">
        <v>174</v>
      </c>
      <c r="O41" s="3" t="s">
        <v>36</v>
      </c>
      <c r="P41" s="3" t="s">
        <v>183</v>
      </c>
      <c r="Q41" s="3" t="s">
        <v>189</v>
      </c>
      <c r="R41" s="4">
        <v>20</v>
      </c>
      <c r="S41" s="3" t="s">
        <v>36</v>
      </c>
      <c r="T41" s="4">
        <v>10</v>
      </c>
      <c r="U41" s="3" t="s">
        <v>36</v>
      </c>
      <c r="V41" s="4">
        <v>10</v>
      </c>
      <c r="W41" s="3" t="s">
        <v>37</v>
      </c>
      <c r="X41" s="4">
        <v>5</v>
      </c>
      <c r="Y41" s="3" t="s">
        <v>36</v>
      </c>
      <c r="Z41" s="4">
        <v>10</v>
      </c>
      <c r="AA41" s="3" t="s">
        <v>36</v>
      </c>
      <c r="AB41" s="4">
        <v>10</v>
      </c>
      <c r="AC41" t="str">
        <f>_xlfn.TEXTJOIN(",",,"INSERT INTO assetList VALUES (",A41,B41,C41,F41,E41,G41,H41,I41,J41,K41,L41,N41,P41,Q41,R41,S41,T41,U41,V41,W41,X41,Y41,Z41,AA41,AB41,")")</f>
        <v>INSERT INTO assetList VALUES (,100003.2,Hotel,Hotel Plattenhof,8.55302,47.3743,3*,Plattenstrasse,26,8032,Zürich,Switzerland,"SingelBusiness",2021-06-10 13:00:00.000000,2021-06-11 12:00:00.000000,20,true,10,true,10,false,5,true,10,true,10,)</v>
      </c>
    </row>
    <row r="42" spans="1:39" ht="17" customHeight="1" x14ac:dyDescent="0.2">
      <c r="A42" s="3">
        <v>100008</v>
      </c>
      <c r="B42" s="3" t="s">
        <v>27</v>
      </c>
      <c r="C42" s="3" t="s">
        <v>62</v>
      </c>
      <c r="D42" s="5">
        <v>0.82565765802945101</v>
      </c>
      <c r="E42" s="3" t="s">
        <v>64</v>
      </c>
      <c r="F42" s="3" t="s">
        <v>63</v>
      </c>
      <c r="G42" s="3" t="s">
        <v>31</v>
      </c>
      <c r="H42" s="3" t="s">
        <v>65</v>
      </c>
      <c r="I42" s="3">
        <v>6</v>
      </c>
      <c r="J42" s="3">
        <v>8001</v>
      </c>
      <c r="K42" s="3" t="s">
        <v>33</v>
      </c>
      <c r="L42" s="3" t="s">
        <v>34</v>
      </c>
      <c r="M42" s="3"/>
      <c r="N42" s="3" t="s">
        <v>53</v>
      </c>
      <c r="O42" s="3" t="s">
        <v>36</v>
      </c>
      <c r="P42" s="3" t="s">
        <v>184</v>
      </c>
      <c r="Q42" s="3" t="s">
        <v>189</v>
      </c>
      <c r="R42" s="4">
        <v>23</v>
      </c>
      <c r="S42" s="3" t="s">
        <v>36</v>
      </c>
      <c r="T42" s="4">
        <v>10</v>
      </c>
      <c r="U42" s="3" t="s">
        <v>36</v>
      </c>
      <c r="V42" s="4">
        <v>10</v>
      </c>
      <c r="W42" s="3" t="s">
        <v>37</v>
      </c>
      <c r="X42" s="4">
        <v>5</v>
      </c>
      <c r="Y42" s="3" t="s">
        <v>37</v>
      </c>
      <c r="Z42" s="4">
        <v>10</v>
      </c>
      <c r="AA42" s="3" t="s">
        <v>36</v>
      </c>
      <c r="AB42" s="4">
        <v>10</v>
      </c>
      <c r="AC42" t="str">
        <f>_xlfn.TEXTJOIN(",",,"INSERT INTO assetList VALUES (",A42,B42,C42,F42,E42,G42,H42,I42,J42,K42,L42,N42,P42,Q42,R42,S42,T42,U42,V42,W42,X42,Y42,Z42,AA42,AB42,")")</f>
        <v>INSERT INTO assetList VALUES (,100008,Hotel,Hotel Royal Zürich,8.54502,47.37898,3*,Leonhardstrasse,6,8001,Zürich,Switzerland,DoubleStandard,2021-06-10 13:30:00.000000,2021-06-11 12:00:00.000000,23,true,10,true,10,false,5,false,10,true,10,)</v>
      </c>
    </row>
    <row r="43" spans="1:39" ht="17" customHeight="1" x14ac:dyDescent="0.2">
      <c r="A43" s="3">
        <v>100011</v>
      </c>
      <c r="B43" s="3" t="s">
        <v>27</v>
      </c>
      <c r="C43" s="3" t="s">
        <v>73</v>
      </c>
      <c r="D43" s="5">
        <v>0.84860118160543052</v>
      </c>
      <c r="E43" s="3" t="s">
        <v>75</v>
      </c>
      <c r="F43" s="3" t="s">
        <v>74</v>
      </c>
      <c r="G43" s="3" t="s">
        <v>31</v>
      </c>
      <c r="H43" s="3" t="s">
        <v>65</v>
      </c>
      <c r="I43" s="3">
        <v>1</v>
      </c>
      <c r="J43" s="3">
        <v>8001</v>
      </c>
      <c r="K43" s="3" t="s">
        <v>33</v>
      </c>
      <c r="L43" s="3" t="s">
        <v>34</v>
      </c>
      <c r="M43" s="3"/>
      <c r="N43" s="3" t="s">
        <v>53</v>
      </c>
      <c r="O43" s="3" t="s">
        <v>36</v>
      </c>
      <c r="P43" s="3" t="s">
        <v>184</v>
      </c>
      <c r="Q43" s="3" t="s">
        <v>189</v>
      </c>
      <c r="R43" s="4">
        <v>25</v>
      </c>
      <c r="S43" s="3" t="s">
        <v>36</v>
      </c>
      <c r="T43" s="4">
        <v>10</v>
      </c>
      <c r="U43" s="3" t="s">
        <v>36</v>
      </c>
      <c r="V43" s="4">
        <v>10</v>
      </c>
      <c r="W43" s="3" t="s">
        <v>37</v>
      </c>
      <c r="X43" s="4">
        <v>5</v>
      </c>
      <c r="Y43" s="3" t="s">
        <v>37</v>
      </c>
      <c r="Z43" s="4">
        <v>10</v>
      </c>
      <c r="AA43" s="3" t="s">
        <v>36</v>
      </c>
      <c r="AB43" s="4">
        <v>10</v>
      </c>
      <c r="AC43" t="str">
        <f>_xlfn.TEXTJOIN(",",,"INSERT INTO assetList VALUES (",A43,B43,C43,F43,E43,G43,H43,I43,J43,K43,L43,N43,P43,Q43,R43,S43,T43,U43,V43,W43,X43,Y43,Z43,AA43,AB43,")")</f>
        <v>INSERT INTO assetList VALUES (,100011,Hotel,Hotel Leoneck Swiss Hotel,8.54514,47.37918,3*,Leonhardstrasse,1,8001,Zürich,Switzerland,DoubleStandard,2021-06-10 13:30:00.000000,2021-06-11 12:00:00.000000,25,true,10,true,10,false,5,false,10,true,10,)</v>
      </c>
    </row>
    <row r="44" spans="1:39" ht="17" hidden="1" customHeight="1" x14ac:dyDescent="0.2">
      <c r="A44" s="3">
        <v>100019</v>
      </c>
      <c r="B44" s="3" t="s">
        <v>27</v>
      </c>
      <c r="C44" s="3" t="s">
        <v>104</v>
      </c>
      <c r="D44" s="5">
        <v>0.90072616939512085</v>
      </c>
      <c r="E44" s="3" t="s">
        <v>106</v>
      </c>
      <c r="F44" s="3" t="s">
        <v>105</v>
      </c>
      <c r="G44" s="3" t="s">
        <v>31</v>
      </c>
      <c r="H44" s="3" t="s">
        <v>107</v>
      </c>
      <c r="I44" s="3">
        <v>34</v>
      </c>
      <c r="J44" s="3">
        <v>8006</v>
      </c>
      <c r="K44" s="3" t="s">
        <v>33</v>
      </c>
      <c r="L44" s="3" t="s">
        <v>34</v>
      </c>
      <c r="M44" s="3"/>
      <c r="N44" s="3" t="s">
        <v>103</v>
      </c>
      <c r="O44" s="3" t="s">
        <v>36</v>
      </c>
      <c r="P44" s="3" t="s">
        <v>272</v>
      </c>
      <c r="Q44" s="3" t="s">
        <v>273</v>
      </c>
      <c r="R44" s="4">
        <v>27</v>
      </c>
      <c r="S44" s="3" t="s">
        <v>36</v>
      </c>
      <c r="T44" s="4">
        <v>10</v>
      </c>
      <c r="U44" s="3" t="s">
        <v>36</v>
      </c>
      <c r="V44" s="4">
        <v>10</v>
      </c>
      <c r="W44" s="3" t="s">
        <v>36</v>
      </c>
      <c r="X44" s="4">
        <v>5</v>
      </c>
      <c r="Y44" s="3" t="s">
        <v>37</v>
      </c>
      <c r="Z44" s="4">
        <v>10</v>
      </c>
      <c r="AA44" s="3" t="s">
        <v>37</v>
      </c>
      <c r="AB44" s="4">
        <v>10</v>
      </c>
      <c r="AC44" t="str">
        <f>_xlfn.TEXTJOIN(",",,"INSERT INTO assetList VALUES (",A44,B44,C44,F44,E44,G44,H44,I44,J44,K44,L44,N44,P44,Q44,R44,S44,T44,U44,V44,W44,X44,Y44,Z44,AA44,AB44,")")</f>
        <v>INSERT INTO assetList VALUES (,100019,Hotel,Hotel Garni Bristol ,8.54349,47.37967,3*,Stampfenbachstrasse,34,8006,Zürich,Switzerland,DoubleBusiness,2021-06-11 14:00:00.000000,2021-06-12 17:00:00.000000,27,true,10,true,10,true,5,false,10,false,10,)</v>
      </c>
    </row>
    <row r="45" spans="1:39" ht="17" hidden="1" customHeight="1" x14ac:dyDescent="0.2">
      <c r="A45" s="3">
        <v>100016</v>
      </c>
      <c r="B45" s="3" t="s">
        <v>27</v>
      </c>
      <c r="C45" s="3" t="s">
        <v>92</v>
      </c>
      <c r="D45" s="5">
        <v>1.0979879983039336</v>
      </c>
      <c r="E45" s="3" t="s">
        <v>94</v>
      </c>
      <c r="F45" s="3" t="s">
        <v>93</v>
      </c>
      <c r="G45" s="3" t="s">
        <v>31</v>
      </c>
      <c r="H45" s="3" t="s">
        <v>95</v>
      </c>
      <c r="I45" s="3">
        <v>5</v>
      </c>
      <c r="J45" s="3">
        <v>8005</v>
      </c>
      <c r="K45" s="3" t="s">
        <v>33</v>
      </c>
      <c r="L45" s="3" t="s">
        <v>34</v>
      </c>
      <c r="M45" s="3"/>
      <c r="N45" s="3" t="s">
        <v>53</v>
      </c>
      <c r="O45" s="3" t="s">
        <v>36</v>
      </c>
      <c r="P45" s="3" t="s">
        <v>272</v>
      </c>
      <c r="Q45" s="3" t="s">
        <v>273</v>
      </c>
      <c r="R45" s="4">
        <v>25</v>
      </c>
      <c r="S45" s="3" t="s">
        <v>36</v>
      </c>
      <c r="T45" s="4">
        <v>10</v>
      </c>
      <c r="U45" s="3" t="s">
        <v>36</v>
      </c>
      <c r="V45" s="4">
        <v>10</v>
      </c>
      <c r="W45" s="3" t="s">
        <v>36</v>
      </c>
      <c r="X45" s="4">
        <v>5</v>
      </c>
      <c r="Y45" s="3" t="s">
        <v>37</v>
      </c>
      <c r="Z45" s="4">
        <v>10</v>
      </c>
      <c r="AA45" s="3" t="s">
        <v>37</v>
      </c>
      <c r="AB45" s="4">
        <v>10</v>
      </c>
      <c r="AC45" t="str">
        <f>_xlfn.TEXTJOIN(",",,"INSERT INTO assetList VALUES (",A45,B45,C45,F45,E45,G45,H45,I45,J45,K45,L45,N45,P45,Q45,R45,S45,T45,U45,V45,W45,X45,Y45,Z45,AA45,AB45,")")</f>
        <v>INSERT INTO assetList VALUES (,100016,Hotel,Hotel Walhalla Zürich,8.53721,47.38028,3*,Limmatstrasse,5,8005,Zürich,Switzerland,DoubleStandard,2021-06-11 14:00:00.000000,2021-06-12 17:00:00.000000,25,true,10,true,10,true,5,false,10,false,10,)</v>
      </c>
    </row>
    <row r="46" spans="1:39" ht="17" hidden="1" customHeight="1" x14ac:dyDescent="0.2">
      <c r="A46" s="3">
        <v>100034</v>
      </c>
      <c r="B46" s="3" t="s">
        <v>27</v>
      </c>
      <c r="C46" s="3" t="s">
        <v>162</v>
      </c>
      <c r="D46" s="5">
        <v>1.2460042711998982</v>
      </c>
      <c r="E46" s="3" t="s">
        <v>163</v>
      </c>
      <c r="F46" s="3" t="s">
        <v>127</v>
      </c>
      <c r="G46" s="3" t="s">
        <v>118</v>
      </c>
      <c r="H46" s="3" t="s">
        <v>164</v>
      </c>
      <c r="I46" s="3">
        <v>42</v>
      </c>
      <c r="J46" s="3">
        <v>8006</v>
      </c>
      <c r="K46" s="3" t="s">
        <v>33</v>
      </c>
      <c r="L46" s="3" t="s">
        <v>34</v>
      </c>
      <c r="M46" s="3"/>
      <c r="N46" s="3" t="s">
        <v>161</v>
      </c>
      <c r="O46" s="3" t="s">
        <v>36</v>
      </c>
      <c r="P46" s="3" t="s">
        <v>188</v>
      </c>
      <c r="Q46" s="3" t="s">
        <v>190</v>
      </c>
      <c r="R46" s="4">
        <v>40</v>
      </c>
      <c r="S46" s="3" t="s">
        <v>36</v>
      </c>
      <c r="T46" s="4">
        <v>15</v>
      </c>
      <c r="U46" s="3" t="s">
        <v>36</v>
      </c>
      <c r="V46" s="4">
        <v>15</v>
      </c>
      <c r="W46" s="3" t="s">
        <v>36</v>
      </c>
      <c r="X46" s="4">
        <v>8</v>
      </c>
      <c r="Y46" s="3" t="s">
        <v>36</v>
      </c>
      <c r="Z46" s="4">
        <v>10</v>
      </c>
      <c r="AA46" s="3" t="s">
        <v>36</v>
      </c>
      <c r="AB46" s="4">
        <v>10</v>
      </c>
      <c r="AC46" t="str">
        <f>_xlfn.TEXTJOIN(",",,"INSERT INTO assetList VALUES (",A46,B46,C46,F46,E46,G46,H46,I46,J46,K46,L46,N46,P46,Q46,R46,S46,T46,U46,V46,W46,X46,Y46,Z46,AA46,AB46,")")</f>
        <v>INSERT INTO assetList VALUES (,100034,Hotel,Hotel Marriott Zürich,8.54066,47.38254,5*,Neumühlequai,42,8006,Zürich,Switzerland,JuniorSuite,2021-06-10 16:00:00.000000,2021-08-19 15:00:00.000000,40,true,15,true,15,true,8,true,10,true,10,)</v>
      </c>
    </row>
    <row r="47" spans="1:39" ht="17" hidden="1" customHeight="1" x14ac:dyDescent="0.2">
      <c r="A47" s="3" t="s">
        <v>203</v>
      </c>
      <c r="B47" s="3" t="s">
        <v>27</v>
      </c>
      <c r="C47" s="3" t="s">
        <v>202</v>
      </c>
      <c r="D47" s="5">
        <v>62.649345493515781</v>
      </c>
      <c r="E47" s="3">
        <v>47.421420500000004</v>
      </c>
      <c r="F47" s="3">
        <v>9.3731755999999997</v>
      </c>
      <c r="G47" s="3" t="s">
        <v>124</v>
      </c>
      <c r="H47" s="3" t="s">
        <v>204</v>
      </c>
      <c r="I47" s="3">
        <v>2</v>
      </c>
      <c r="J47" s="3">
        <v>9000</v>
      </c>
      <c r="K47" s="3" t="s">
        <v>205</v>
      </c>
      <c r="L47" s="3" t="s">
        <v>34</v>
      </c>
      <c r="N47" s="3" t="s">
        <v>161</v>
      </c>
      <c r="O47" s="3" t="s">
        <v>36</v>
      </c>
      <c r="P47" s="3" t="s">
        <v>188</v>
      </c>
      <c r="Q47" s="3" t="s">
        <v>190</v>
      </c>
      <c r="R47" s="6">
        <v>50</v>
      </c>
      <c r="S47" s="7" t="s">
        <v>36</v>
      </c>
      <c r="T47" s="6">
        <v>15</v>
      </c>
      <c r="U47" s="7" t="s">
        <v>36</v>
      </c>
      <c r="V47" s="6">
        <v>15</v>
      </c>
      <c r="W47" s="7" t="s">
        <v>36</v>
      </c>
      <c r="X47" s="6">
        <v>8</v>
      </c>
      <c r="Y47" s="7" t="s">
        <v>36</v>
      </c>
      <c r="Z47" s="6">
        <v>10</v>
      </c>
      <c r="AA47" s="7" t="s">
        <v>36</v>
      </c>
      <c r="AB47" s="6">
        <v>10</v>
      </c>
      <c r="AC47" s="8" t="s">
        <v>206</v>
      </c>
      <c r="AD47" s="8"/>
      <c r="AE47" s="8"/>
      <c r="AF47" s="8"/>
      <c r="AG47" s="8"/>
      <c r="AM47" s="8"/>
    </row>
    <row r="48" spans="1:39" ht="17" hidden="1" customHeight="1" x14ac:dyDescent="0.2">
      <c r="A48" s="3" t="s">
        <v>213</v>
      </c>
      <c r="B48" s="3" t="s">
        <v>27</v>
      </c>
      <c r="C48" s="3" t="s">
        <v>250</v>
      </c>
      <c r="D48" s="5">
        <v>62.862645104640244</v>
      </c>
      <c r="E48" s="3" t="s">
        <v>211</v>
      </c>
      <c r="F48" s="3" t="s">
        <v>214</v>
      </c>
      <c r="G48" s="3" t="s">
        <v>31</v>
      </c>
      <c r="H48" s="3" t="s">
        <v>215</v>
      </c>
      <c r="I48" s="3" t="s">
        <v>216</v>
      </c>
      <c r="J48" s="3">
        <v>9000</v>
      </c>
      <c r="K48" s="3" t="s">
        <v>205</v>
      </c>
      <c r="L48" s="3" t="s">
        <v>34</v>
      </c>
      <c r="N48" s="3" t="s">
        <v>53</v>
      </c>
      <c r="O48" s="3" t="s">
        <v>36</v>
      </c>
      <c r="P48" s="3" t="s">
        <v>188</v>
      </c>
      <c r="Q48" s="3" t="s">
        <v>190</v>
      </c>
      <c r="R48" s="6">
        <v>35</v>
      </c>
      <c r="S48" s="7" t="s">
        <v>36</v>
      </c>
      <c r="T48" s="6">
        <v>10</v>
      </c>
      <c r="U48" s="7" t="s">
        <v>36</v>
      </c>
      <c r="V48" s="6">
        <v>10</v>
      </c>
      <c r="W48" s="7" t="s">
        <v>36</v>
      </c>
      <c r="X48" s="6">
        <v>8</v>
      </c>
      <c r="Y48" s="7" t="s">
        <v>36</v>
      </c>
      <c r="Z48" s="6">
        <v>8</v>
      </c>
      <c r="AA48" s="7" t="s">
        <v>36</v>
      </c>
      <c r="AB48" s="6">
        <v>10</v>
      </c>
      <c r="AC48" s="8" t="s">
        <v>206</v>
      </c>
      <c r="AD48" s="8"/>
      <c r="AE48" s="8"/>
      <c r="AF48" s="8"/>
      <c r="AG48" s="8"/>
      <c r="AM48" s="8"/>
    </row>
    <row r="49" spans="1:47" ht="17" hidden="1" customHeight="1" x14ac:dyDescent="0.2">
      <c r="A49" s="3" t="s">
        <v>208</v>
      </c>
      <c r="B49" s="3" t="s">
        <v>27</v>
      </c>
      <c r="C49" s="3" t="s">
        <v>207</v>
      </c>
      <c r="D49" s="5">
        <v>63.026945368607642</v>
      </c>
      <c r="E49" s="3" t="s">
        <v>211</v>
      </c>
      <c r="F49" s="3" t="s">
        <v>212</v>
      </c>
      <c r="G49" s="3" t="s">
        <v>124</v>
      </c>
      <c r="H49" s="3" t="s">
        <v>209</v>
      </c>
      <c r="I49" s="3" t="s">
        <v>210</v>
      </c>
      <c r="J49" s="3">
        <v>9000</v>
      </c>
      <c r="K49" s="3" t="s">
        <v>205</v>
      </c>
      <c r="L49" s="3" t="s">
        <v>34</v>
      </c>
      <c r="N49" s="3" t="s">
        <v>161</v>
      </c>
      <c r="O49" s="3" t="s">
        <v>36</v>
      </c>
      <c r="P49" s="3" t="s">
        <v>188</v>
      </c>
      <c r="Q49" s="3" t="s">
        <v>190</v>
      </c>
      <c r="R49" s="6">
        <v>50</v>
      </c>
      <c r="S49" s="7" t="s">
        <v>36</v>
      </c>
      <c r="T49" s="6">
        <v>15</v>
      </c>
      <c r="U49" s="7" t="s">
        <v>36</v>
      </c>
      <c r="V49" s="6">
        <v>15</v>
      </c>
      <c r="W49" s="7" t="s">
        <v>36</v>
      </c>
      <c r="X49" s="6">
        <v>8</v>
      </c>
      <c r="Y49" s="7" t="s">
        <v>36</v>
      </c>
      <c r="Z49" s="6">
        <v>10</v>
      </c>
      <c r="AA49" s="7" t="s">
        <v>36</v>
      </c>
      <c r="AB49" s="6">
        <v>8</v>
      </c>
      <c r="AC49" s="8" t="s">
        <v>206</v>
      </c>
      <c r="AD49" s="8"/>
      <c r="AE49" s="8"/>
      <c r="AF49" s="8"/>
      <c r="AG49" s="8"/>
      <c r="AH49" s="8"/>
    </row>
    <row r="50" spans="1:47" ht="17" hidden="1" customHeight="1" x14ac:dyDescent="0.2">
      <c r="A50" s="3" t="s">
        <v>218</v>
      </c>
      <c r="B50" s="3" t="s">
        <v>27</v>
      </c>
      <c r="C50" t="s">
        <v>217</v>
      </c>
      <c r="D50" s="5">
        <v>75.467382496581635</v>
      </c>
      <c r="E50" s="3" t="s">
        <v>219</v>
      </c>
      <c r="F50" s="3" t="s">
        <v>220</v>
      </c>
      <c r="G50" s="3" t="s">
        <v>118</v>
      </c>
      <c r="H50" t="s">
        <v>222</v>
      </c>
      <c r="I50" s="3" t="s">
        <v>120</v>
      </c>
      <c r="J50" s="3" t="s">
        <v>223</v>
      </c>
      <c r="K50" s="3" t="s">
        <v>221</v>
      </c>
      <c r="L50" s="3" t="s">
        <v>34</v>
      </c>
      <c r="N50" s="3" t="s">
        <v>35</v>
      </c>
      <c r="O50" s="3" t="s">
        <v>36</v>
      </c>
      <c r="P50" s="3" t="s">
        <v>188</v>
      </c>
      <c r="Q50" s="3" t="s">
        <v>190</v>
      </c>
      <c r="R50" s="6">
        <v>60</v>
      </c>
      <c r="S50" s="7" t="s">
        <v>36</v>
      </c>
      <c r="T50" s="6">
        <v>20</v>
      </c>
      <c r="U50" s="7" t="s">
        <v>36</v>
      </c>
      <c r="V50" s="6">
        <v>20</v>
      </c>
      <c r="W50" s="7" t="s">
        <v>36</v>
      </c>
      <c r="X50" s="6">
        <v>12</v>
      </c>
      <c r="Y50" s="7" t="s">
        <v>36</v>
      </c>
      <c r="Z50" s="6">
        <v>12</v>
      </c>
      <c r="AA50" s="7" t="s">
        <v>36</v>
      </c>
      <c r="AB50" s="6">
        <v>10</v>
      </c>
      <c r="AC50" s="8" t="s">
        <v>206</v>
      </c>
      <c r="AD50" s="8"/>
      <c r="AE50" s="8"/>
      <c r="AF50" s="8"/>
      <c r="AG50" s="8"/>
      <c r="AH50" s="8"/>
    </row>
    <row r="51" spans="1:47" ht="17" hidden="1" customHeight="1" x14ac:dyDescent="0.2">
      <c r="A51" s="3" t="s">
        <v>237</v>
      </c>
      <c r="B51" s="3" t="s">
        <v>27</v>
      </c>
      <c r="C51" t="s">
        <v>224</v>
      </c>
      <c r="D51" s="5">
        <v>75.467382496581635</v>
      </c>
      <c r="E51" s="3" t="s">
        <v>219</v>
      </c>
      <c r="F51" s="3" t="s">
        <v>220</v>
      </c>
      <c r="G51" s="3" t="s">
        <v>124</v>
      </c>
      <c r="H51" t="s">
        <v>225</v>
      </c>
      <c r="I51" s="3" t="s">
        <v>226</v>
      </c>
      <c r="J51" s="3" t="s">
        <v>223</v>
      </c>
      <c r="K51" s="3" t="s">
        <v>221</v>
      </c>
      <c r="L51" s="3" t="s">
        <v>34</v>
      </c>
      <c r="N51" s="3" t="s">
        <v>35</v>
      </c>
      <c r="O51" s="3" t="s">
        <v>36</v>
      </c>
      <c r="P51" s="3" t="s">
        <v>188</v>
      </c>
      <c r="Q51" s="3" t="s">
        <v>190</v>
      </c>
      <c r="R51" s="6">
        <v>40</v>
      </c>
      <c r="S51" s="7" t="s">
        <v>36</v>
      </c>
      <c r="T51" s="6">
        <v>15</v>
      </c>
      <c r="U51" s="7" t="s">
        <v>36</v>
      </c>
      <c r="V51" s="6">
        <v>10</v>
      </c>
      <c r="W51" s="7" t="s">
        <v>36</v>
      </c>
      <c r="X51" s="6">
        <v>10</v>
      </c>
      <c r="Y51" s="7" t="s">
        <v>36</v>
      </c>
      <c r="Z51" s="6">
        <v>10</v>
      </c>
      <c r="AA51" s="7" t="s">
        <v>36</v>
      </c>
      <c r="AB51" s="6">
        <v>10</v>
      </c>
      <c r="AC51" s="8" t="s">
        <v>206</v>
      </c>
      <c r="AD51" s="8"/>
      <c r="AE51" s="8"/>
      <c r="AF51" s="8"/>
      <c r="AG51" s="8"/>
      <c r="AH51" s="8"/>
    </row>
    <row r="52" spans="1:47" ht="17" hidden="1" customHeight="1" x14ac:dyDescent="0.2">
      <c r="A52" s="3" t="s">
        <v>228</v>
      </c>
      <c r="B52" s="3" t="s">
        <v>27</v>
      </c>
      <c r="C52" t="s">
        <v>227</v>
      </c>
      <c r="D52" s="5">
        <v>95.515791854436117</v>
      </c>
      <c r="E52" s="3" t="s">
        <v>239</v>
      </c>
      <c r="F52" s="3" t="s">
        <v>240</v>
      </c>
      <c r="G52" s="3" t="s">
        <v>118</v>
      </c>
      <c r="H52" t="s">
        <v>230</v>
      </c>
      <c r="I52" s="3" t="s">
        <v>231</v>
      </c>
      <c r="J52" s="3" t="s">
        <v>232</v>
      </c>
      <c r="K52" s="3" t="s">
        <v>229</v>
      </c>
      <c r="L52" s="3" t="s">
        <v>34</v>
      </c>
      <c r="N52" s="3" t="s">
        <v>161</v>
      </c>
      <c r="O52" s="3" t="s">
        <v>36</v>
      </c>
      <c r="P52" s="3" t="s">
        <v>188</v>
      </c>
      <c r="Q52" s="3" t="s">
        <v>190</v>
      </c>
      <c r="R52" s="6">
        <v>60</v>
      </c>
      <c r="S52" s="7" t="s">
        <v>36</v>
      </c>
      <c r="T52" s="6">
        <v>18</v>
      </c>
      <c r="U52" s="7" t="s">
        <v>36</v>
      </c>
      <c r="V52" s="6">
        <v>14</v>
      </c>
      <c r="W52" s="7" t="s">
        <v>36</v>
      </c>
      <c r="X52" s="6">
        <v>12</v>
      </c>
      <c r="Y52" s="7" t="s">
        <v>36</v>
      </c>
      <c r="Z52" s="6">
        <v>12</v>
      </c>
      <c r="AA52" s="7" t="s">
        <v>36</v>
      </c>
      <c r="AB52" s="6">
        <v>15</v>
      </c>
      <c r="AC52" s="8" t="s">
        <v>206</v>
      </c>
      <c r="AD52" s="8"/>
      <c r="AE52" s="8"/>
      <c r="AF52" s="8"/>
      <c r="AG52" s="8"/>
      <c r="AH52" s="8"/>
    </row>
    <row r="53" spans="1:47" ht="17" hidden="1" customHeight="1" x14ac:dyDescent="0.2">
      <c r="A53" s="3" t="s">
        <v>236</v>
      </c>
      <c r="B53" s="3" t="s">
        <v>27</v>
      </c>
      <c r="C53" t="s">
        <v>234</v>
      </c>
      <c r="D53" s="5">
        <v>95.515791854436117</v>
      </c>
      <c r="E53" s="3" t="s">
        <v>239</v>
      </c>
      <c r="F53" s="3" t="s">
        <v>240</v>
      </c>
      <c r="G53" s="3" t="s">
        <v>124</v>
      </c>
      <c r="H53" t="s">
        <v>235</v>
      </c>
      <c r="I53" s="3" t="s">
        <v>231</v>
      </c>
      <c r="J53" s="3" t="s">
        <v>232</v>
      </c>
      <c r="K53" s="3" t="s">
        <v>229</v>
      </c>
      <c r="L53" s="3" t="s">
        <v>34</v>
      </c>
      <c r="N53" s="3" t="s">
        <v>174</v>
      </c>
      <c r="O53" s="3" t="s">
        <v>36</v>
      </c>
      <c r="P53" s="3" t="s">
        <v>188</v>
      </c>
      <c r="Q53" s="3" t="s">
        <v>190</v>
      </c>
      <c r="R53" s="6">
        <v>45</v>
      </c>
      <c r="S53" s="7" t="s">
        <v>36</v>
      </c>
      <c r="T53" s="6">
        <v>12</v>
      </c>
      <c r="U53" s="7" t="s">
        <v>36</v>
      </c>
      <c r="V53" s="6">
        <v>10</v>
      </c>
      <c r="W53" s="7" t="s">
        <v>36</v>
      </c>
      <c r="X53" s="6">
        <v>10</v>
      </c>
      <c r="Y53" s="7" t="s">
        <v>36</v>
      </c>
      <c r="Z53" s="6">
        <v>12</v>
      </c>
      <c r="AA53" s="7" t="s">
        <v>36</v>
      </c>
      <c r="AB53" s="6">
        <v>10</v>
      </c>
      <c r="AC53" s="8" t="s">
        <v>206</v>
      </c>
      <c r="AD53" s="8"/>
      <c r="AE53" s="8"/>
      <c r="AF53" s="8"/>
      <c r="AG53" s="8"/>
      <c r="AH53" s="8"/>
    </row>
    <row r="54" spans="1:47" ht="17" hidden="1" customHeight="1" x14ac:dyDescent="0.2">
      <c r="A54" s="3" t="s">
        <v>236</v>
      </c>
      <c r="B54" s="3" t="s">
        <v>27</v>
      </c>
      <c r="C54" t="s">
        <v>238</v>
      </c>
      <c r="D54" s="5">
        <v>95.515791854436117</v>
      </c>
      <c r="E54" s="3" t="s">
        <v>239</v>
      </c>
      <c r="F54" s="3" t="s">
        <v>240</v>
      </c>
      <c r="G54" s="3" t="s">
        <v>124</v>
      </c>
      <c r="H54" t="s">
        <v>241</v>
      </c>
      <c r="I54" s="3" t="s">
        <v>242</v>
      </c>
      <c r="J54" s="3" t="s">
        <v>232</v>
      </c>
      <c r="K54" s="3" t="s">
        <v>229</v>
      </c>
      <c r="L54" s="3" t="s">
        <v>34</v>
      </c>
      <c r="N54" s="3" t="s">
        <v>174</v>
      </c>
      <c r="O54" s="3" t="s">
        <v>36</v>
      </c>
      <c r="P54" s="3" t="s">
        <v>188</v>
      </c>
      <c r="Q54" s="3" t="s">
        <v>190</v>
      </c>
      <c r="R54" s="6">
        <v>42</v>
      </c>
      <c r="S54" s="7" t="s">
        <v>36</v>
      </c>
      <c r="T54" s="6">
        <v>10</v>
      </c>
      <c r="U54" s="7" t="s">
        <v>36</v>
      </c>
      <c r="V54" s="6">
        <v>10</v>
      </c>
      <c r="W54" s="7" t="s">
        <v>36</v>
      </c>
      <c r="X54" s="6">
        <v>10</v>
      </c>
      <c r="Y54" s="7" t="s">
        <v>36</v>
      </c>
      <c r="Z54" s="6">
        <v>12</v>
      </c>
      <c r="AA54" s="7" t="s">
        <v>36</v>
      </c>
      <c r="AB54" s="6">
        <v>10</v>
      </c>
      <c r="AC54" s="8" t="s">
        <v>206</v>
      </c>
      <c r="AD54" s="8"/>
      <c r="AE54" s="8"/>
      <c r="AF54" s="8"/>
      <c r="AG54" s="8"/>
      <c r="AH54" s="8"/>
    </row>
    <row r="55" spans="1:47" ht="17" customHeight="1" x14ac:dyDescent="0.2">
      <c r="B55" s="2" t="s">
        <v>233</v>
      </c>
      <c r="C55" s="11"/>
      <c r="D55" s="11"/>
      <c r="G55" s="3"/>
    </row>
    <row r="57" spans="1:47" ht="17" customHeight="1" x14ac:dyDescent="0.2">
      <c r="AG57" s="1" t="s">
        <v>251</v>
      </c>
      <c r="AH57" s="1" t="s">
        <v>257</v>
      </c>
      <c r="AI57" s="1" t="s">
        <v>14</v>
      </c>
      <c r="AJ57" s="1" t="s">
        <v>15</v>
      </c>
    </row>
    <row r="58" spans="1:47" ht="17" customHeight="1" x14ac:dyDescent="0.2">
      <c r="AG58" s="3" t="s">
        <v>252</v>
      </c>
      <c r="AH58" s="3" t="s">
        <v>258</v>
      </c>
      <c r="AI58" s="3" t="s">
        <v>185</v>
      </c>
      <c r="AJ58" s="3" t="s">
        <v>188</v>
      </c>
    </row>
    <row r="59" spans="1:47" ht="17" customHeight="1" x14ac:dyDescent="0.2">
      <c r="AG59" s="3" t="s">
        <v>253</v>
      </c>
      <c r="AH59" t="s">
        <v>259</v>
      </c>
      <c r="AI59" s="3" t="s">
        <v>272</v>
      </c>
      <c r="AJ59" s="3" t="s">
        <v>266</v>
      </c>
    </row>
    <row r="60" spans="1:47" ht="17" customHeight="1" x14ac:dyDescent="0.2">
      <c r="AG60" s="12" t="s">
        <v>254</v>
      </c>
      <c r="AH60" s="13" t="s">
        <v>260</v>
      </c>
      <c r="AI60" s="12" t="s">
        <v>187</v>
      </c>
      <c r="AJ60" s="12" t="s">
        <v>269</v>
      </c>
    </row>
    <row r="61" spans="1:47" ht="17" customHeight="1" x14ac:dyDescent="0.2">
      <c r="AE61" s="3"/>
      <c r="AG61" s="3" t="s">
        <v>255</v>
      </c>
      <c r="AH61" t="s">
        <v>261</v>
      </c>
      <c r="AI61" s="3" t="s">
        <v>274</v>
      </c>
      <c r="AJ61" s="3" t="s">
        <v>270</v>
      </c>
      <c r="AK61" s="3"/>
      <c r="AL61" s="3"/>
      <c r="AN61" s="3"/>
      <c r="AQ61" s="3"/>
      <c r="AR61" s="3"/>
      <c r="AS61" s="3"/>
      <c r="AT61" s="3"/>
      <c r="AU61" s="3"/>
    </row>
    <row r="62" spans="1:47" ht="17" customHeight="1" x14ac:dyDescent="0.2">
      <c r="AG62" s="3" t="s">
        <v>256</v>
      </c>
      <c r="AH62" t="s">
        <v>262</v>
      </c>
      <c r="AI62" s="3" t="s">
        <v>268</v>
      </c>
      <c r="AJ62" s="3" t="s">
        <v>184</v>
      </c>
    </row>
  </sheetData>
  <autoFilter ref="A1:AA55" xr:uid="{A21A5BE7-7AB7-E348-8D96-1F0445CCAA25}">
    <filterColumn colId="15">
      <filters blank="1">
        <filter val="2021-06-10 13:00:00.000000"/>
        <filter val="2021-06-10 13:30:00.000000"/>
        <filter val="2021-06-10 14:00:00.000000"/>
        <filter val="2021-06-10 14:45:00.000000"/>
        <filter val="2021-06-10 15:00:00.000000"/>
      </filters>
    </filterColumn>
    <sortState xmlns:xlrd2="http://schemas.microsoft.com/office/spreadsheetml/2017/richdata2" ref="A2:AA55">
      <sortCondition ref="D1:D55"/>
    </sortState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0CBC8D-7AB2-954E-B750-24B8AFAE0628}">
          <x14:formula1>
            <xm:f>'Host Variablen'!$D$2:$D$7</xm:f>
          </x14:formula1>
          <xm:sqref>N2:N54</xm:sqref>
        </x14:dataValidation>
        <x14:dataValidation type="list" allowBlank="1" showInputMessage="1" showErrorMessage="1" xr:uid="{3C1F98D5-D4EC-E340-AF96-F51A84B9A232}">
          <x14:formula1>
            <xm:f>'Host Variablen'!$B$2:$B$3</xm:f>
          </x14:formula1>
          <xm:sqref>O2:O54 Y2:Y46 S2:S46 U2:U46 W2:W46 AA2:AA46</xm:sqref>
        </x14:dataValidation>
        <x14:dataValidation type="list" allowBlank="1" showInputMessage="1" showErrorMessage="1" xr:uid="{F8B1289B-13D6-AD46-8874-67B09324ED93}">
          <x14:formula1>
            <xm:f>'Host Variablen'!$A$2:$A$5</xm:f>
          </x14:formula1>
          <xm:sqref>B2:B46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691A-95FA-2843-9A20-2E6278DC3275}">
  <sheetPr codeName="Sheet16" filterMode="1"/>
  <dimension ref="A1:AU62"/>
  <sheetViews>
    <sheetView workbookViewId="0">
      <selection activeCell="D40" sqref="A5:D40"/>
    </sheetView>
  </sheetViews>
  <sheetFormatPr baseColWidth="10" defaultColWidth="11.5" defaultRowHeight="17" customHeight="1" x14ac:dyDescent="0.2"/>
  <cols>
    <col min="1" max="1" width="8.6640625" bestFit="1" customWidth="1"/>
    <col min="2" max="2" width="29.5" bestFit="1" customWidth="1"/>
    <col min="3" max="4" width="29.5" style="5" customWidth="1"/>
    <col min="5" max="5" width="10.6640625" hidden="1" customWidth="1"/>
    <col min="6" max="6" width="11.5" hidden="1" customWidth="1"/>
    <col min="7" max="7" width="14" hidden="1" customWidth="1"/>
    <col min="8" max="8" width="17.1640625" hidden="1" customWidth="1"/>
    <col min="9" max="9" width="10.6640625" hidden="1" customWidth="1"/>
    <col min="10" max="10" width="6" hidden="1" customWidth="1"/>
    <col min="11" max="11" width="8.33203125" hidden="1" customWidth="1"/>
    <col min="12" max="12" width="10" hidden="1" customWidth="1"/>
    <col min="13" max="13" width="11.83203125" hidden="1" customWidth="1"/>
    <col min="14" max="14" width="15" hidden="1" customWidth="1"/>
    <col min="15" max="15" width="20.6640625" hidden="1" customWidth="1"/>
    <col min="16" max="17" width="24.33203125" bestFit="1" customWidth="1"/>
    <col min="18" max="18" width="17.33203125" style="4" hidden="1" customWidth="1"/>
    <col min="19" max="19" width="12.83203125" hidden="1" customWidth="1"/>
    <col min="20" max="20" width="8.1640625" style="4" hidden="1" customWidth="1"/>
    <col min="21" max="21" width="13.33203125" hidden="1" customWidth="1"/>
    <col min="22" max="22" width="12.5" style="4" hidden="1" customWidth="1"/>
    <col min="23" max="23" width="15.5" hidden="1" customWidth="1"/>
    <col min="24" max="24" width="14.6640625" style="4" hidden="1" customWidth="1"/>
    <col min="25" max="25" width="4.6640625" hidden="1" customWidth="1"/>
    <col min="26" max="26" width="8.6640625" style="4" hidden="1" customWidth="1"/>
    <col min="27" max="27" width="4.5" hidden="1" customWidth="1"/>
    <col min="28" max="28" width="7.83203125" style="4" hidden="1" customWidth="1"/>
    <col min="29" max="29" width="211" hidden="1" customWidth="1"/>
    <col min="30" max="30" width="0" hidden="1" customWidth="1"/>
    <col min="31" max="31" width="6.33203125" bestFit="1" customWidth="1"/>
    <col min="32" max="32" width="8.33203125" bestFit="1" customWidth="1"/>
    <col min="33" max="33" width="6.33203125" bestFit="1" customWidth="1"/>
    <col min="34" max="34" width="9.1640625" bestFit="1" customWidth="1"/>
    <col min="35" max="38" width="24.33203125" bestFit="1" customWidth="1"/>
    <col min="41" max="42" width="13.5" bestFit="1" customWidth="1"/>
  </cols>
  <sheetData>
    <row r="1" spans="1:33" ht="17" customHeight="1" x14ac:dyDescent="0.2">
      <c r="A1" s="1" t="s">
        <v>0</v>
      </c>
      <c r="B1" s="1" t="s">
        <v>2</v>
      </c>
      <c r="C1" s="10"/>
      <c r="D1" s="10" t="s">
        <v>275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33" ht="17" hidden="1" customHeight="1" x14ac:dyDescent="0.2">
      <c r="A2" s="3">
        <v>100028</v>
      </c>
      <c r="B2" s="3" t="s">
        <v>27</v>
      </c>
      <c r="C2" s="3" t="s">
        <v>140</v>
      </c>
      <c r="D2" s="5">
        <v>0.50989632887011394</v>
      </c>
      <c r="E2" s="3" t="s">
        <v>68</v>
      </c>
      <c r="F2" s="3" t="s">
        <v>141</v>
      </c>
      <c r="G2" s="3" t="s">
        <v>124</v>
      </c>
      <c r="H2" s="3" t="s">
        <v>142</v>
      </c>
      <c r="I2" s="3">
        <v>31</v>
      </c>
      <c r="J2" s="3">
        <v>8001</v>
      </c>
      <c r="K2" s="3" t="s">
        <v>33</v>
      </c>
      <c r="L2" s="3" t="s">
        <v>34</v>
      </c>
      <c r="M2" s="3"/>
      <c r="N2" s="3" t="s">
        <v>143</v>
      </c>
      <c r="O2" s="3" t="s">
        <v>36</v>
      </c>
      <c r="P2" s="3" t="s">
        <v>187</v>
      </c>
      <c r="Q2" s="3" t="s">
        <v>190</v>
      </c>
      <c r="R2" s="4">
        <v>34</v>
      </c>
      <c r="S2" s="3" t="s">
        <v>36</v>
      </c>
      <c r="T2" s="4">
        <v>15</v>
      </c>
      <c r="U2" s="3" t="s">
        <v>36</v>
      </c>
      <c r="V2" s="4">
        <v>15</v>
      </c>
      <c r="W2" s="3" t="s">
        <v>37</v>
      </c>
      <c r="X2" s="4">
        <v>8</v>
      </c>
      <c r="Y2" s="3" t="s">
        <v>36</v>
      </c>
      <c r="Z2" s="4">
        <v>10</v>
      </c>
      <c r="AA2" s="3" t="s">
        <v>36</v>
      </c>
      <c r="AB2" s="4">
        <v>10</v>
      </c>
      <c r="AC2" t="str">
        <f>_xlfn.TEXTJOIN(",",,"INSERT INTO assetList VALUES (",A2,B2,C2,F2,E2,G2,H2,I2,J2,K2,L2,N2,P2,Q2,R2,S2,T2,U2,V2,W2,X2,Y2,Z2,AA2,AB2,")")</f>
        <v>INSERT INTO assetList VALUES (,100028,Hotel,Hotel Glockenhof Zürich,8.53685,47.37319,4*,Sihlstrasse,31,8001,Zürich,Switzerland,DoubleSuperior,2021-06-10 15:00:00.000000,2021-08-19 15:00:00.000000,34,true,15,true,15,false,8,true,10,true,10,)</v>
      </c>
      <c r="AG2" s="2"/>
    </row>
    <row r="3" spans="1:33" ht="17" hidden="1" customHeight="1" x14ac:dyDescent="0.2">
      <c r="A3" s="3">
        <v>100032</v>
      </c>
      <c r="B3" s="3" t="s">
        <v>27</v>
      </c>
      <c r="C3" s="3" t="s">
        <v>154</v>
      </c>
      <c r="D3" s="5">
        <v>0.74051167624266623</v>
      </c>
      <c r="E3" s="3" t="s">
        <v>156</v>
      </c>
      <c r="F3" s="3" t="s">
        <v>155</v>
      </c>
      <c r="G3" s="3" t="s">
        <v>118</v>
      </c>
      <c r="H3" s="3" t="s">
        <v>157</v>
      </c>
      <c r="I3" s="3">
        <v>7</v>
      </c>
      <c r="J3" s="3">
        <v>8001</v>
      </c>
      <c r="K3" s="3" t="s">
        <v>33</v>
      </c>
      <c r="L3" s="3" t="s">
        <v>34</v>
      </c>
      <c r="M3" s="3"/>
      <c r="N3" s="3" t="s">
        <v>143</v>
      </c>
      <c r="O3" s="3" t="s">
        <v>36</v>
      </c>
      <c r="P3" s="3" t="s">
        <v>188</v>
      </c>
      <c r="Q3" s="3" t="s">
        <v>190</v>
      </c>
      <c r="R3" s="4">
        <v>36</v>
      </c>
      <c r="S3" s="3" t="s">
        <v>36</v>
      </c>
      <c r="T3" s="4">
        <v>15</v>
      </c>
      <c r="U3" s="3" t="s">
        <v>36</v>
      </c>
      <c r="V3" s="4">
        <v>15</v>
      </c>
      <c r="W3" s="3" t="s">
        <v>37</v>
      </c>
      <c r="X3" s="4">
        <v>8</v>
      </c>
      <c r="Y3" s="3" t="s">
        <v>36</v>
      </c>
      <c r="Z3" s="4">
        <v>10</v>
      </c>
      <c r="AA3" s="3" t="s">
        <v>36</v>
      </c>
      <c r="AB3" s="4">
        <v>10</v>
      </c>
      <c r="AC3" t="str">
        <f>_xlfn.TEXTJOIN(",",,"INSERT INTO assetList VALUES (",A3,B3,C3,F3,E3,G3,H3,I3,J3,K3,L3,N3,P3,Q3,R3,S3,T3,U3,V3,W3,X3,Y3,Z3,AA3,AB3,")")</f>
        <v>INSERT INTO assetList VALUES (,100032,Hotel,Hotel Widder,8.53986,47.37253,5*,Rennweg,7,8001,Zürich,Switzerland,DoubleSuperior,2021-06-10 16:00:00.000000,2021-08-19 15:00:00.000000,36,true,15,true,15,false,8,true,10,true,10,)</v>
      </c>
      <c r="AG3" s="2"/>
    </row>
    <row r="4" spans="1:33" ht="17" hidden="1" customHeight="1" x14ac:dyDescent="0.2">
      <c r="A4" s="3">
        <v>100031</v>
      </c>
      <c r="B4" s="3" t="s">
        <v>27</v>
      </c>
      <c r="C4" s="3" t="s">
        <v>150</v>
      </c>
      <c r="D4" s="5">
        <v>0.78588177091615186</v>
      </c>
      <c r="E4" s="3" t="s">
        <v>152</v>
      </c>
      <c r="F4" s="3" t="s">
        <v>151</v>
      </c>
      <c r="G4" s="3" t="s">
        <v>124</v>
      </c>
      <c r="H4" s="3" t="s">
        <v>153</v>
      </c>
      <c r="I4" s="3">
        <v>87</v>
      </c>
      <c r="J4" s="3">
        <v>8001</v>
      </c>
      <c r="K4" s="3" t="s">
        <v>33</v>
      </c>
      <c r="L4" s="3" t="s">
        <v>34</v>
      </c>
      <c r="M4" s="3"/>
      <c r="N4" s="3" t="s">
        <v>103</v>
      </c>
      <c r="O4" s="3" t="s">
        <v>36</v>
      </c>
      <c r="P4" s="3" t="s">
        <v>188</v>
      </c>
      <c r="Q4" s="3" t="s">
        <v>190</v>
      </c>
      <c r="R4" s="4">
        <v>36</v>
      </c>
      <c r="S4" s="3" t="s">
        <v>36</v>
      </c>
      <c r="T4" s="4">
        <v>15</v>
      </c>
      <c r="U4" s="3" t="s">
        <v>36</v>
      </c>
      <c r="V4" s="4">
        <v>15</v>
      </c>
      <c r="W4" s="3" t="s">
        <v>37</v>
      </c>
      <c r="X4" s="4">
        <v>8</v>
      </c>
      <c r="Y4" s="3" t="s">
        <v>36</v>
      </c>
      <c r="Z4" s="4">
        <v>10</v>
      </c>
      <c r="AA4" s="3" t="s">
        <v>36</v>
      </c>
      <c r="AB4" s="4">
        <v>10</v>
      </c>
      <c r="AC4" t="str">
        <f>_xlfn.TEXTJOIN(",",,"INSERT INTO assetList VALUES (",A4,B4,C4,F4,E4,G4,H4,I4,J4,K4,L4,N4,P4,Q4,R4,S4,T4,U4,V4,W4,X4,Y4,Z4,AA4,AB4,")")</f>
        <v>INSERT INTO assetList VALUES (,100031,Hotel,Hotel St. Gothard,8.53939,47.37641,4*,Bahnhofstrasse,87,8001,Zürich,Switzerland,DoubleBusiness,2021-06-10 16:00:00.000000,2021-08-19 15:00:00.000000,36,true,15,true,15,false,8,true,10,true,10,)</v>
      </c>
      <c r="AG4" s="2"/>
    </row>
    <row r="5" spans="1:33" ht="17" customHeight="1" x14ac:dyDescent="0.2">
      <c r="A5" s="3" t="s">
        <v>244</v>
      </c>
      <c r="B5" s="3" t="s">
        <v>27</v>
      </c>
      <c r="C5" s="3" t="s">
        <v>115</v>
      </c>
      <c r="D5" s="5">
        <v>0.80346583798631843</v>
      </c>
      <c r="E5" s="3" t="s">
        <v>117</v>
      </c>
      <c r="F5" s="3" t="s">
        <v>116</v>
      </c>
      <c r="G5" s="3" t="s">
        <v>118</v>
      </c>
      <c r="H5" s="3" t="s">
        <v>119</v>
      </c>
      <c r="I5" s="3">
        <v>12</v>
      </c>
      <c r="J5" s="3">
        <v>8001</v>
      </c>
      <c r="K5" s="3" t="s">
        <v>33</v>
      </c>
      <c r="L5" s="3" t="s">
        <v>34</v>
      </c>
      <c r="M5" s="3"/>
      <c r="N5" s="3" t="s">
        <v>35</v>
      </c>
      <c r="O5" s="3" t="s">
        <v>36</v>
      </c>
      <c r="P5" s="3" t="s">
        <v>272</v>
      </c>
      <c r="Q5" s="3" t="s">
        <v>273</v>
      </c>
      <c r="R5" s="4">
        <v>30</v>
      </c>
      <c r="S5" s="3" t="s">
        <v>36</v>
      </c>
      <c r="T5" s="4">
        <v>12</v>
      </c>
      <c r="U5" s="3" t="s">
        <v>36</v>
      </c>
      <c r="V5" s="4">
        <v>15</v>
      </c>
      <c r="W5" s="3" t="s">
        <v>36</v>
      </c>
      <c r="X5" s="4">
        <v>8</v>
      </c>
      <c r="Y5" s="3" t="s">
        <v>36</v>
      </c>
      <c r="Z5" s="4">
        <v>10</v>
      </c>
      <c r="AA5" s="3" t="s">
        <v>36</v>
      </c>
      <c r="AB5" s="4">
        <v>10</v>
      </c>
      <c r="AC5" t="str">
        <f>_xlfn.TEXTJOIN(",",,"INSERT INTO assetList VALUES (",A5,B5,C5,F5,E5,G5,H5,I5,J5,K5,L5,N5,P5,Q5,R5,S5,T5,U5,V5,W5,X5,Y5,Z5,AA5,AB5,")")</f>
        <v>INSERT INTO assetList VALUES (,100022.1,Hotel,Hotel Savoy Baur en Ville,8.53961,47.36997,5*,Poststrasse,12,8001,Zürich,Switzerland,SingleStandard,2021-06-11 14:00:00.000000,2021-06-12 17:00:00.000000,30,true,12,true,15,true,8,true,10,true,10,)</v>
      </c>
    </row>
    <row r="6" spans="1:33" ht="17" customHeight="1" x14ac:dyDescent="0.2">
      <c r="A6" s="3" t="s">
        <v>245</v>
      </c>
      <c r="B6" s="3" t="s">
        <v>27</v>
      </c>
      <c r="C6" s="3" t="s">
        <v>115</v>
      </c>
      <c r="D6" s="5">
        <v>0.80346583798631843</v>
      </c>
      <c r="E6" s="3" t="s">
        <v>117</v>
      </c>
      <c r="F6" s="3" t="s">
        <v>116</v>
      </c>
      <c r="G6" s="3" t="s">
        <v>118</v>
      </c>
      <c r="H6" s="3" t="s">
        <v>119</v>
      </c>
      <c r="I6" s="3">
        <v>12</v>
      </c>
      <c r="J6" s="3">
        <v>8001</v>
      </c>
      <c r="K6" s="3" t="s">
        <v>33</v>
      </c>
      <c r="L6" s="3" t="s">
        <v>34</v>
      </c>
      <c r="M6" s="3"/>
      <c r="N6" s="3" t="s">
        <v>35</v>
      </c>
      <c r="O6" s="3" t="s">
        <v>36</v>
      </c>
      <c r="P6" s="3" t="s">
        <v>272</v>
      </c>
      <c r="Q6" s="3" t="s">
        <v>273</v>
      </c>
      <c r="R6" s="4">
        <v>31</v>
      </c>
      <c r="S6" s="3" t="s">
        <v>36</v>
      </c>
      <c r="T6" s="4">
        <v>12</v>
      </c>
      <c r="U6" s="3" t="s">
        <v>36</v>
      </c>
      <c r="V6" s="4">
        <v>15</v>
      </c>
      <c r="W6" s="3" t="s">
        <v>36</v>
      </c>
      <c r="X6" s="4">
        <v>8</v>
      </c>
      <c r="Y6" s="3" t="s">
        <v>36</v>
      </c>
      <c r="Z6" s="4">
        <v>10</v>
      </c>
      <c r="AA6" s="3" t="s">
        <v>36</v>
      </c>
      <c r="AB6" s="4">
        <v>10</v>
      </c>
      <c r="AC6" t="str">
        <f>_xlfn.TEXTJOIN(",",,"INSERT INTO assetList VALUES (",A6,B6,C6,F6,E6,G6,H6,I6,J6,K6,L6,N6,P6,Q6,R6,S6,T6,U6,V6,W6,X6,Y6,Z6,AA6,AB6,")")</f>
        <v>INSERT INTO assetList VALUES (,100022.2,Hotel,Hotel Savoy Baur en Ville,8.53961,47.36997,5*,Poststrasse,12,8001,Zürich,Switzerland,SingleStandard,2021-06-11 14:00:00.000000,2021-06-12 17:00:00.000000,31,true,12,true,15,true,8,true,10,true,10,)</v>
      </c>
    </row>
    <row r="7" spans="1:33" ht="17" customHeight="1" x14ac:dyDescent="0.2">
      <c r="A7" s="3" t="s">
        <v>246</v>
      </c>
      <c r="B7" s="3" t="s">
        <v>27</v>
      </c>
      <c r="C7" s="3" t="s">
        <v>115</v>
      </c>
      <c r="D7" s="5">
        <v>0.80346583798631843</v>
      </c>
      <c r="E7" s="3" t="s">
        <v>117</v>
      </c>
      <c r="F7" s="3" t="s">
        <v>116</v>
      </c>
      <c r="G7" s="3" t="s">
        <v>118</v>
      </c>
      <c r="H7" s="3" t="s">
        <v>119</v>
      </c>
      <c r="I7" s="3">
        <v>12</v>
      </c>
      <c r="J7" s="3">
        <v>8001</v>
      </c>
      <c r="K7" s="3" t="s">
        <v>33</v>
      </c>
      <c r="L7" s="3" t="s">
        <v>34</v>
      </c>
      <c r="M7" s="3"/>
      <c r="N7" s="3" t="s">
        <v>177</v>
      </c>
      <c r="O7" s="3" t="s">
        <v>36</v>
      </c>
      <c r="P7" s="3" t="s">
        <v>272</v>
      </c>
      <c r="Q7" s="3" t="s">
        <v>273</v>
      </c>
      <c r="R7" s="4">
        <v>33</v>
      </c>
      <c r="S7" s="3" t="s">
        <v>36</v>
      </c>
      <c r="T7" s="4">
        <v>15</v>
      </c>
      <c r="U7" s="3" t="s">
        <v>36</v>
      </c>
      <c r="V7" s="4">
        <v>17</v>
      </c>
      <c r="W7" s="3" t="s">
        <v>37</v>
      </c>
      <c r="X7" s="4">
        <v>8</v>
      </c>
      <c r="Y7" s="3" t="s">
        <v>36</v>
      </c>
      <c r="Z7" s="4">
        <v>10</v>
      </c>
      <c r="AA7" s="3" t="s">
        <v>36</v>
      </c>
      <c r="AB7" s="4">
        <v>10</v>
      </c>
      <c r="AC7" t="str">
        <f>_xlfn.TEXTJOIN(",",,"INSERT INTO assetList VALUES (",A7,B7,C7,F7,E7,G7,H7,I7,J7,K7,L7,N7,P7,Q7,R7,S7,T7,U7,V7,W7,X7,Y7,Z7,AA7,AB7,")")</f>
        <v>INSERT INTO assetList VALUES (,100022.3,Hotel,Hotel Savoy Baur en Ville,8.53961,47.36997,5*,Poststrasse,12,8001,Zürich,Switzerland,"DoubleStandard",2021-06-11 14:00:00.000000,2021-06-12 17:00:00.000000,33,true,15,true,17,false,8,true,10,true,10,)</v>
      </c>
    </row>
    <row r="8" spans="1:33" ht="17" customHeight="1" x14ac:dyDescent="0.2">
      <c r="A8" s="3" t="s">
        <v>247</v>
      </c>
      <c r="B8" s="3" t="s">
        <v>27</v>
      </c>
      <c r="C8" s="3" t="s">
        <v>115</v>
      </c>
      <c r="D8" s="5">
        <v>0.80346583798631843</v>
      </c>
      <c r="E8" s="3" t="s">
        <v>117</v>
      </c>
      <c r="F8" s="3" t="s">
        <v>116</v>
      </c>
      <c r="G8" s="3" t="s">
        <v>118</v>
      </c>
      <c r="H8" s="3" t="s">
        <v>119</v>
      </c>
      <c r="I8" s="3">
        <v>12</v>
      </c>
      <c r="J8" s="3">
        <v>8001</v>
      </c>
      <c r="K8" s="3" t="s">
        <v>33</v>
      </c>
      <c r="L8" s="3" t="s">
        <v>34</v>
      </c>
      <c r="M8" s="3"/>
      <c r="N8" s="3" t="s">
        <v>182</v>
      </c>
      <c r="O8" s="3" t="s">
        <v>36</v>
      </c>
      <c r="P8" s="3" t="s">
        <v>272</v>
      </c>
      <c r="Q8" s="3" t="s">
        <v>273</v>
      </c>
      <c r="R8" s="4">
        <v>35</v>
      </c>
      <c r="S8" s="3" t="s">
        <v>36</v>
      </c>
      <c r="T8" s="4">
        <v>17</v>
      </c>
      <c r="U8" s="3" t="s">
        <v>36</v>
      </c>
      <c r="V8" s="4">
        <v>17</v>
      </c>
      <c r="W8" s="3" t="s">
        <v>37</v>
      </c>
      <c r="X8" s="4">
        <v>8</v>
      </c>
      <c r="Y8" s="3" t="s">
        <v>36</v>
      </c>
      <c r="Z8" s="4">
        <v>10</v>
      </c>
      <c r="AA8" s="3" t="s">
        <v>36</v>
      </c>
      <c r="AB8" s="4">
        <v>10</v>
      </c>
      <c r="AC8" t="str">
        <f>_xlfn.TEXTJOIN(",",,"INSERT INTO assetList VALUES (",A8,B8,C8,F8,E8,G8,H8,I8,J8,K8,L8,N8,P8,Q8,R8,S8,T8,U8,V8,W8,X8,Y8,Z8,AA8,AB8,")")</f>
        <v>INSERT INTO assetList VALUES (,100022.4,Hotel,Hotel Savoy Baur en Ville,8.53961,47.36997,5*,Poststrasse,12,8001,Zürich,Switzerland,"DoubleBusiness",2021-06-11 14:00:00.000000,2021-06-12 17:00:00.000000,35,true,17,true,17,false,8,true,10,true,10,)</v>
      </c>
    </row>
    <row r="9" spans="1:33" ht="17" hidden="1" customHeight="1" x14ac:dyDescent="0.2">
      <c r="A9" s="3">
        <v>100007</v>
      </c>
      <c r="B9" s="3" t="s">
        <v>27</v>
      </c>
      <c r="C9" s="3" t="s">
        <v>58</v>
      </c>
      <c r="D9" s="5">
        <v>0.80372141080177573</v>
      </c>
      <c r="E9" s="3" t="s">
        <v>60</v>
      </c>
      <c r="F9" s="3" t="s">
        <v>59</v>
      </c>
      <c r="G9" s="3" t="s">
        <v>31</v>
      </c>
      <c r="H9" s="3" t="s">
        <v>61</v>
      </c>
      <c r="I9" s="3">
        <v>1</v>
      </c>
      <c r="J9" s="3">
        <v>8001</v>
      </c>
      <c r="K9" s="3" t="s">
        <v>33</v>
      </c>
      <c r="L9" s="3" t="s">
        <v>34</v>
      </c>
      <c r="M9" s="3"/>
      <c r="N9" s="3" t="s">
        <v>53</v>
      </c>
      <c r="O9" s="3" t="s">
        <v>36</v>
      </c>
      <c r="P9" s="3" t="s">
        <v>184</v>
      </c>
      <c r="Q9" s="3" t="s">
        <v>189</v>
      </c>
      <c r="R9" s="4">
        <v>23</v>
      </c>
      <c r="S9" s="3" t="s">
        <v>36</v>
      </c>
      <c r="T9" s="4">
        <v>10</v>
      </c>
      <c r="U9" s="3" t="s">
        <v>36</v>
      </c>
      <c r="V9" s="4">
        <v>10</v>
      </c>
      <c r="W9" s="3" t="s">
        <v>37</v>
      </c>
      <c r="X9" s="4">
        <v>5</v>
      </c>
      <c r="Y9" s="3" t="s">
        <v>37</v>
      </c>
      <c r="Z9" s="4">
        <v>10</v>
      </c>
      <c r="AA9" s="3" t="s">
        <v>37</v>
      </c>
      <c r="AB9" s="4">
        <v>10</v>
      </c>
      <c r="AC9" t="str">
        <f>_xlfn.TEXTJOIN(",",,"INSERT INTO assetList VALUES (",A9,B9,C9,F9,E9,G9,H9,I9,J9,K9,L9,N9,P9,Q9,R9,S9,T9,U9,V9,W9,X9,Y9,Z9,AA9,AB9,")")</f>
        <v>INSERT INTO assetList VALUES (,100007,Hotel,Hotel Kindli,8.54069,47.37244,3*,Pfalzgasse,1,8001,Zürich,Switzerland,DoubleStandard,2021-06-10 13:30:00.000000,2021-06-11 12:00:00.000000,23,true,10,true,10,false,5,false,10,false,10,)</v>
      </c>
    </row>
    <row r="10" spans="1:33" ht="17" hidden="1" customHeight="1" x14ac:dyDescent="0.2">
      <c r="A10" s="3">
        <v>100023</v>
      </c>
      <c r="B10" s="3" t="s">
        <v>27</v>
      </c>
      <c r="C10" s="3" t="s">
        <v>121</v>
      </c>
      <c r="D10" s="5">
        <v>0.81978541672046923</v>
      </c>
      <c r="E10" s="3" t="s">
        <v>123</v>
      </c>
      <c r="F10" s="3" t="s">
        <v>122</v>
      </c>
      <c r="G10" s="3" t="s">
        <v>124</v>
      </c>
      <c r="H10" s="3" t="s">
        <v>125</v>
      </c>
      <c r="I10" s="3">
        <v>7</v>
      </c>
      <c r="J10" s="3">
        <v>8001</v>
      </c>
      <c r="K10" s="3" t="s">
        <v>33</v>
      </c>
      <c r="L10" s="3" t="s">
        <v>34</v>
      </c>
      <c r="M10" s="3"/>
      <c r="N10" s="3" t="s">
        <v>35</v>
      </c>
      <c r="O10" s="3" t="s">
        <v>36</v>
      </c>
      <c r="P10" s="3" t="s">
        <v>186</v>
      </c>
      <c r="Q10" s="3" t="s">
        <v>190</v>
      </c>
      <c r="R10" s="4">
        <v>30</v>
      </c>
      <c r="S10" s="3" t="s">
        <v>36</v>
      </c>
      <c r="T10" s="4">
        <v>15</v>
      </c>
      <c r="U10" s="3" t="s">
        <v>36</v>
      </c>
      <c r="V10" s="4">
        <v>15</v>
      </c>
      <c r="W10" s="3" t="s">
        <v>37</v>
      </c>
      <c r="X10" s="4">
        <v>8</v>
      </c>
      <c r="Y10" s="3" t="s">
        <v>36</v>
      </c>
      <c r="Z10" s="4">
        <v>10</v>
      </c>
      <c r="AA10" s="3" t="s">
        <v>36</v>
      </c>
      <c r="AB10" s="4">
        <v>10</v>
      </c>
      <c r="AC10" t="str">
        <f>_xlfn.TEXTJOIN(",",,"INSERT INTO assetList VALUES (",A10,B10,C10,F10,E10,G10,H10,I10,J10,K10,L10,N10,P10,Q10,R10,S10,T10,U10,V10,W10,X10,Y10,Z10,AA10,AB10,")")</f>
        <v>INSERT INTO assetList VALUES (,100023,Hotel,Hotel Schweizerhof,8.53945,47.37697,4*,Bahnhofplatz,7,8001,Zürich,Switzerland,SingleStandard,2021-06-10 14:45:00.000000,2021-08-19 15:00:00.000000,30,true,15,true,15,false,8,true,10,true,10,)</v>
      </c>
    </row>
    <row r="11" spans="1:33" ht="17" customHeight="1" x14ac:dyDescent="0.2">
      <c r="A11" s="3">
        <v>100015</v>
      </c>
      <c r="B11" s="3" t="s">
        <v>27</v>
      </c>
      <c r="C11" s="3" t="s">
        <v>88</v>
      </c>
      <c r="D11" s="5">
        <v>0.82720328276187483</v>
      </c>
      <c r="E11" s="3" t="s">
        <v>90</v>
      </c>
      <c r="F11" s="3" t="s">
        <v>89</v>
      </c>
      <c r="G11" s="3" t="s">
        <v>31</v>
      </c>
      <c r="H11" s="3" t="s">
        <v>91</v>
      </c>
      <c r="I11" s="3">
        <v>7</v>
      </c>
      <c r="J11" s="3">
        <v>8001</v>
      </c>
      <c r="K11" s="3" t="s">
        <v>33</v>
      </c>
      <c r="L11" s="3" t="s">
        <v>34</v>
      </c>
      <c r="M11" s="3"/>
      <c r="N11" s="3" t="s">
        <v>53</v>
      </c>
      <c r="O11" s="3" t="s">
        <v>36</v>
      </c>
      <c r="P11" s="3" t="s">
        <v>272</v>
      </c>
      <c r="Q11" s="3" t="s">
        <v>273</v>
      </c>
      <c r="R11" s="4">
        <v>25</v>
      </c>
      <c r="S11" s="3" t="s">
        <v>36</v>
      </c>
      <c r="T11" s="4">
        <v>10</v>
      </c>
      <c r="U11" s="3" t="s">
        <v>36</v>
      </c>
      <c r="V11" s="4">
        <v>10</v>
      </c>
      <c r="W11" s="3" t="s">
        <v>37</v>
      </c>
      <c r="X11" s="4">
        <v>5</v>
      </c>
      <c r="Y11" s="3" t="s">
        <v>37</v>
      </c>
      <c r="Z11" s="4">
        <v>10</v>
      </c>
      <c r="AA11" s="3" t="s">
        <v>37</v>
      </c>
      <c r="AB11" s="4">
        <v>10</v>
      </c>
      <c r="AC11" t="str">
        <f>_xlfn.TEXTJOIN(",",,"INSERT INTO assetList VALUES (",A11,B11,C11,F11,E11,G11,H11,I11,J11,K11,L11,N11,P11,Q11,R11,S11,T11,U11,V11,W11,X11,Y11,Z11,AA11,AB11,")")</f>
        <v>INSERT INTO assetList VALUES (,100015,Hotel,Hotel Townhouse,8.54007,47.37631,3*,Schützengasse,7,8001,Zürich,Switzerland,DoubleStandard,2021-06-11 14:00:00.000000,2021-06-12 17:00:00.000000,25,true,10,true,10,false,5,false,10,false,10,)</v>
      </c>
    </row>
    <row r="12" spans="1:33" ht="17" hidden="1" customHeight="1" x14ac:dyDescent="0.2">
      <c r="A12" s="3">
        <v>100024</v>
      </c>
      <c r="B12" s="3" t="s">
        <v>27</v>
      </c>
      <c r="C12" s="3" t="s">
        <v>126</v>
      </c>
      <c r="D12" s="5">
        <v>0.84093349226036218</v>
      </c>
      <c r="E12" s="3" t="s">
        <v>128</v>
      </c>
      <c r="F12" s="3" t="s">
        <v>127</v>
      </c>
      <c r="G12" s="3" t="s">
        <v>124</v>
      </c>
      <c r="H12" s="3" t="s">
        <v>129</v>
      </c>
      <c r="I12" s="3">
        <v>10</v>
      </c>
      <c r="J12" s="3">
        <v>8001</v>
      </c>
      <c r="K12" s="3" t="s">
        <v>33</v>
      </c>
      <c r="L12" s="3" t="s">
        <v>34</v>
      </c>
      <c r="M12" s="3"/>
      <c r="N12" s="3" t="s">
        <v>35</v>
      </c>
      <c r="O12" s="3" t="s">
        <v>36</v>
      </c>
      <c r="P12" s="3" t="s">
        <v>187</v>
      </c>
      <c r="Q12" s="3" t="s">
        <v>190</v>
      </c>
      <c r="R12" s="4">
        <v>30</v>
      </c>
      <c r="S12" s="3" t="s">
        <v>36</v>
      </c>
      <c r="T12" s="4">
        <v>15</v>
      </c>
      <c r="U12" s="3" t="s">
        <v>36</v>
      </c>
      <c r="V12" s="4">
        <v>15</v>
      </c>
      <c r="W12" s="3" t="s">
        <v>37</v>
      </c>
      <c r="X12" s="4">
        <v>8</v>
      </c>
      <c r="Y12" s="3" t="s">
        <v>36</v>
      </c>
      <c r="Z12" s="4">
        <v>10</v>
      </c>
      <c r="AA12" s="3" t="s">
        <v>36</v>
      </c>
      <c r="AB12" s="4">
        <v>10</v>
      </c>
      <c r="AC12" t="str">
        <f>_xlfn.TEXTJOIN(",",,"INSERT INTO assetList VALUES (",A12,B12,C12,F12,E12,G12,H12,I12,J12,K12,L12,N12,P12,Q12,R12,S12,T12,U12,V12,W12,X12,Y12,Z12,AA12,AB12,")")</f>
        <v>INSERT INTO assetList VALUES (,100024,Hotel,Hotel Sorell St. Peter,8.54066,47.3708,4*,In Gassen,10,8001,Zürich,Switzerland,SingleStandard,2021-06-10 15:00:00.000000,2021-08-19 15:00:00.000000,30,true,15,true,15,false,8,true,10,true,10,)</v>
      </c>
    </row>
    <row r="13" spans="1:33" ht="17" hidden="1" customHeight="1" x14ac:dyDescent="0.2">
      <c r="A13" s="3">
        <v>100027</v>
      </c>
      <c r="B13" s="3" t="s">
        <v>27</v>
      </c>
      <c r="C13" s="3" t="s">
        <v>136</v>
      </c>
      <c r="D13" s="5">
        <v>0.88846044707882121</v>
      </c>
      <c r="E13" s="3" t="s">
        <v>138</v>
      </c>
      <c r="F13" s="3" t="s">
        <v>137</v>
      </c>
      <c r="G13" s="3" t="s">
        <v>118</v>
      </c>
      <c r="H13" s="3" t="s">
        <v>139</v>
      </c>
      <c r="I13" s="3">
        <v>2</v>
      </c>
      <c r="J13" s="3">
        <v>8001</v>
      </c>
      <c r="K13" s="3" t="s">
        <v>33</v>
      </c>
      <c r="L13" s="3" t="s">
        <v>34</v>
      </c>
      <c r="M13" s="3"/>
      <c r="N13" s="3" t="s">
        <v>53</v>
      </c>
      <c r="O13" s="3" t="s">
        <v>36</v>
      </c>
      <c r="P13" s="3" t="s">
        <v>187</v>
      </c>
      <c r="Q13" s="3" t="s">
        <v>190</v>
      </c>
      <c r="R13" s="4">
        <v>32</v>
      </c>
      <c r="S13" s="3" t="s">
        <v>36</v>
      </c>
      <c r="T13" s="4">
        <v>15</v>
      </c>
      <c r="U13" s="3" t="s">
        <v>36</v>
      </c>
      <c r="V13" s="4">
        <v>15</v>
      </c>
      <c r="W13" s="3" t="s">
        <v>37</v>
      </c>
      <c r="X13" s="4">
        <v>8</v>
      </c>
      <c r="Y13" s="3" t="s">
        <v>36</v>
      </c>
      <c r="Z13" s="4">
        <v>10</v>
      </c>
      <c r="AA13" s="3" t="s">
        <v>36</v>
      </c>
      <c r="AB13" s="4">
        <v>10</v>
      </c>
      <c r="AC13" t="str">
        <f>_xlfn.TEXTJOIN(",",,"INSERT INTO assetList VALUES (",A13,B13,C13,F13,E13,G13,H13,I13,J13,K13,L13,N13,P13,Q13,R13,S13,T13,U13,V13,W13,X13,Y13,Z13,AA13,AB13,")")</f>
        <v>INSERT INTO assetList VALUES (,100027,Hotel,Hotel Storchen,8.54169,47.3718,5*,Weinplatz,2,8001,Zürich,Switzerland,DoubleStandard,2021-06-10 15:00:00.000000,2021-08-19 15:00:00.000000,32,true,15,true,15,false,8,true,10,true,10,)</v>
      </c>
    </row>
    <row r="14" spans="1:33" ht="17" customHeight="1" x14ac:dyDescent="0.2">
      <c r="A14" s="3">
        <v>100016</v>
      </c>
      <c r="B14" s="3" t="s">
        <v>27</v>
      </c>
      <c r="C14" s="3" t="s">
        <v>92</v>
      </c>
      <c r="D14" s="5">
        <v>0.95133837647790098</v>
      </c>
      <c r="E14" s="3" t="s">
        <v>94</v>
      </c>
      <c r="F14" s="3" t="s">
        <v>93</v>
      </c>
      <c r="G14" s="3" t="s">
        <v>31</v>
      </c>
      <c r="H14" s="3" t="s">
        <v>95</v>
      </c>
      <c r="I14" s="3">
        <v>5</v>
      </c>
      <c r="J14" s="3">
        <v>8005</v>
      </c>
      <c r="K14" s="3" t="s">
        <v>33</v>
      </c>
      <c r="L14" s="3" t="s">
        <v>34</v>
      </c>
      <c r="M14" s="3"/>
      <c r="N14" s="3" t="s">
        <v>53</v>
      </c>
      <c r="O14" s="3" t="s">
        <v>36</v>
      </c>
      <c r="P14" s="3" t="s">
        <v>272</v>
      </c>
      <c r="Q14" s="3" t="s">
        <v>273</v>
      </c>
      <c r="R14" s="4">
        <v>25</v>
      </c>
      <c r="S14" s="3" t="s">
        <v>36</v>
      </c>
      <c r="T14" s="4">
        <v>10</v>
      </c>
      <c r="U14" s="3" t="s">
        <v>36</v>
      </c>
      <c r="V14" s="4">
        <v>10</v>
      </c>
      <c r="W14" s="3" t="s">
        <v>36</v>
      </c>
      <c r="X14" s="4">
        <v>5</v>
      </c>
      <c r="Y14" s="3" t="s">
        <v>37</v>
      </c>
      <c r="Z14" s="4">
        <v>10</v>
      </c>
      <c r="AA14" s="3" t="s">
        <v>37</v>
      </c>
      <c r="AB14" s="4">
        <v>10</v>
      </c>
      <c r="AC14" t="str">
        <f>_xlfn.TEXTJOIN(",",,"INSERT INTO assetList VALUES (",A14,B14,C14,F14,E14,G14,H14,I14,J14,K14,L14,N14,P14,Q14,R14,S14,T14,U14,V14,W14,X14,Y14,Z14,AA14,AB14,")")</f>
        <v>INSERT INTO assetList VALUES (,100016,Hotel,Hotel Walhalla Zürich,8.53721,47.38028,3*,Limmatstrasse,5,8005,Zürich,Switzerland,DoubleStandard,2021-06-11 14:00:00.000000,2021-06-12 17:00:00.000000,25,true,10,true,10,true,5,false,10,false,10,)</v>
      </c>
    </row>
    <row r="15" spans="1:33" ht="17" hidden="1" customHeight="1" x14ac:dyDescent="0.2">
      <c r="A15" s="3">
        <v>100009</v>
      </c>
      <c r="B15" s="3" t="s">
        <v>27</v>
      </c>
      <c r="C15" s="3" t="s">
        <v>66</v>
      </c>
      <c r="D15" s="5">
        <v>1.0227081940247726</v>
      </c>
      <c r="E15" s="3" t="s">
        <v>68</v>
      </c>
      <c r="F15" s="3" t="s">
        <v>67</v>
      </c>
      <c r="G15" s="3" t="s">
        <v>31</v>
      </c>
      <c r="H15" s="3" t="s">
        <v>69</v>
      </c>
      <c r="I15" s="3">
        <v>10</v>
      </c>
      <c r="J15" s="3">
        <v>8001</v>
      </c>
      <c r="K15" s="3" t="s">
        <v>33</v>
      </c>
      <c r="L15" s="3" t="s">
        <v>34</v>
      </c>
      <c r="M15" s="3"/>
      <c r="N15" s="3" t="s">
        <v>53</v>
      </c>
      <c r="O15" s="3" t="s">
        <v>36</v>
      </c>
      <c r="P15" s="3" t="s">
        <v>184</v>
      </c>
      <c r="Q15" s="3" t="s">
        <v>189</v>
      </c>
      <c r="R15" s="4">
        <v>25</v>
      </c>
      <c r="S15" s="3" t="s">
        <v>36</v>
      </c>
      <c r="T15" s="4">
        <v>10</v>
      </c>
      <c r="U15" s="3" t="s">
        <v>36</v>
      </c>
      <c r="V15" s="4">
        <v>10</v>
      </c>
      <c r="W15" s="3" t="s">
        <v>37</v>
      </c>
      <c r="X15" s="4">
        <v>5</v>
      </c>
      <c r="Y15" s="3" t="s">
        <v>37</v>
      </c>
      <c r="Z15" s="4">
        <v>10</v>
      </c>
      <c r="AA15" s="3" t="s">
        <v>36</v>
      </c>
      <c r="AB15" s="4">
        <v>10</v>
      </c>
      <c r="AC15" t="str">
        <f>_xlfn.TEXTJOIN(",",,"INSERT INTO assetList VALUES (",A15,B15,C15,F15,E15,G15,H15,I15,J15,K15,L15,N15,P15,Q15,R15,S15,T15,U15,V15,W15,X15,Y15,Z15,AA15,AB15,")")</f>
        <v>INSERT INTO assetList VALUES (,100009,Hotel,Hotel Adler,8.54366,47.37319,3*,Rosengasse,10,8001,Zürich,Switzerland,DoubleStandard,2021-06-10 13:30:00.000000,2021-06-11 12:00:00.000000,25,true,10,true,10,false,5,false,10,true,10,)</v>
      </c>
    </row>
    <row r="16" spans="1:33" ht="17" customHeight="1" x14ac:dyDescent="0.2">
      <c r="A16" s="3">
        <v>100020</v>
      </c>
      <c r="B16" s="3" t="s">
        <v>27</v>
      </c>
      <c r="C16" s="3" t="s">
        <v>108</v>
      </c>
      <c r="D16" s="5">
        <v>1.0236557851743702</v>
      </c>
      <c r="E16" s="3" t="s">
        <v>110</v>
      </c>
      <c r="F16" s="3" t="s">
        <v>109</v>
      </c>
      <c r="G16" s="3" t="s">
        <v>31</v>
      </c>
      <c r="H16" s="3" t="s">
        <v>41</v>
      </c>
      <c r="I16" s="3">
        <v>13</v>
      </c>
      <c r="J16" s="3">
        <v>8001</v>
      </c>
      <c r="K16" s="3" t="s">
        <v>33</v>
      </c>
      <c r="L16" s="3" t="s">
        <v>34</v>
      </c>
      <c r="M16" s="3"/>
      <c r="N16" s="3" t="s">
        <v>103</v>
      </c>
      <c r="O16" s="3" t="s">
        <v>36</v>
      </c>
      <c r="P16" s="3" t="s">
        <v>272</v>
      </c>
      <c r="Q16" s="3" t="s">
        <v>273</v>
      </c>
      <c r="R16" s="4">
        <v>27</v>
      </c>
      <c r="S16" s="3" t="s">
        <v>36</v>
      </c>
      <c r="T16" s="4">
        <v>10</v>
      </c>
      <c r="U16" s="3" t="s">
        <v>36</v>
      </c>
      <c r="V16" s="4">
        <v>10</v>
      </c>
      <c r="W16" s="3" t="s">
        <v>36</v>
      </c>
      <c r="X16" s="4">
        <v>5</v>
      </c>
      <c r="Y16" s="3" t="s">
        <v>37</v>
      </c>
      <c r="Z16" s="4">
        <v>10</v>
      </c>
      <c r="AA16" s="3" t="s">
        <v>37</v>
      </c>
      <c r="AB16" s="4">
        <v>10</v>
      </c>
      <c r="AC16" t="str">
        <f>_xlfn.TEXTJOIN(",",,"INSERT INTO assetList VALUES (",A16,B16,C16,F16,E16,G16,H16,I16,J16,K16,L16,N16,P16,Q16,R16,S16,T16,U16,V16,W16,X16,Y16,Z16,AA16,AB16,")")</f>
        <v>INSERT INTO assetList VALUES (,100020,Hotel,Hotel Hirschen,8.54367,47.3734,3*,Niederdorfstrasse,13,8001,Zürich,Switzerland,DoubleBusiness,2021-06-11 14:00:00.000000,2021-06-12 17:00:00.000000,27,true,10,true,10,true,5,false,10,false,10,)</v>
      </c>
    </row>
    <row r="17" spans="1:29" ht="17" hidden="1" customHeight="1" x14ac:dyDescent="0.2">
      <c r="A17" s="3" t="s">
        <v>194</v>
      </c>
      <c r="B17" s="3" t="s">
        <v>27</v>
      </c>
      <c r="C17" s="3" t="s">
        <v>38</v>
      </c>
      <c r="D17" s="5">
        <v>1.025182927285579</v>
      </c>
      <c r="E17" s="3" t="s">
        <v>40</v>
      </c>
      <c r="F17" s="3" t="s">
        <v>39</v>
      </c>
      <c r="G17" s="3" t="s">
        <v>31</v>
      </c>
      <c r="H17" s="3" t="s">
        <v>41</v>
      </c>
      <c r="I17" s="3">
        <v>17</v>
      </c>
      <c r="J17" s="3">
        <v>8001</v>
      </c>
      <c r="K17" s="3" t="s">
        <v>33</v>
      </c>
      <c r="L17" s="3" t="s">
        <v>34</v>
      </c>
      <c r="M17" s="3"/>
      <c r="N17" s="3" t="s">
        <v>35</v>
      </c>
      <c r="O17" s="3" t="s">
        <v>36</v>
      </c>
      <c r="P17" s="3" t="s">
        <v>183</v>
      </c>
      <c r="Q17" s="3" t="s">
        <v>189</v>
      </c>
      <c r="R17" s="4">
        <v>20</v>
      </c>
      <c r="S17" s="3" t="s">
        <v>36</v>
      </c>
      <c r="T17" s="4">
        <v>10</v>
      </c>
      <c r="U17" s="3" t="s">
        <v>36</v>
      </c>
      <c r="V17" s="4">
        <v>10</v>
      </c>
      <c r="W17" s="3" t="s">
        <v>36</v>
      </c>
      <c r="X17" s="4">
        <v>5</v>
      </c>
      <c r="Y17" s="3" t="s">
        <v>37</v>
      </c>
      <c r="Z17" s="4">
        <v>10</v>
      </c>
      <c r="AA17" s="3" t="s">
        <v>37</v>
      </c>
      <c r="AB17" s="4">
        <v>10</v>
      </c>
      <c r="AC17" t="str">
        <f>_xlfn.TEXTJOIN(",",,"INSERT INTO assetList VALUES (",A17,B17,C17,F17,E17,G17,H17,I17,J17,K17,L17,N17,P17,Q17,R17,S17,T17,U17,V17,W17,X17,Y17,Z17,AA17,AB17,")")</f>
        <v>INSERT INTO assetList VALUES (,100002.1,Hotel,Hotel Old Town,8.54368,47.37362,3*,Niederdorfstrasse,17,8001,Zürich,Switzerland,SingleStandard,2021-06-10 13:00:00.000000,2021-06-11 12:00:00.000000,20,true,10,true,10,true,5,false,10,false,10,)</v>
      </c>
    </row>
    <row r="18" spans="1:29" ht="17" hidden="1" customHeight="1" x14ac:dyDescent="0.2">
      <c r="A18" s="3" t="s">
        <v>197</v>
      </c>
      <c r="B18" s="3" t="s">
        <v>27</v>
      </c>
      <c r="C18" s="3" t="s">
        <v>38</v>
      </c>
      <c r="D18" s="5">
        <v>1.025182927285579</v>
      </c>
      <c r="E18" s="3" t="s">
        <v>40</v>
      </c>
      <c r="F18" s="3" t="s">
        <v>39</v>
      </c>
      <c r="G18" s="3" t="s">
        <v>31</v>
      </c>
      <c r="H18" s="3" t="s">
        <v>41</v>
      </c>
      <c r="I18" s="3">
        <v>17</v>
      </c>
      <c r="J18" s="3">
        <v>8001</v>
      </c>
      <c r="K18" s="3" t="s">
        <v>33</v>
      </c>
      <c r="L18" s="3" t="s">
        <v>34</v>
      </c>
      <c r="M18" s="3"/>
      <c r="N18" s="3" t="s">
        <v>53</v>
      </c>
      <c r="O18" s="3" t="s">
        <v>36</v>
      </c>
      <c r="P18" s="3" t="s">
        <v>183</v>
      </c>
      <c r="Q18" s="3" t="s">
        <v>189</v>
      </c>
      <c r="R18" s="4">
        <v>25</v>
      </c>
      <c r="S18" s="3" t="s">
        <v>36</v>
      </c>
      <c r="T18" s="4">
        <v>10</v>
      </c>
      <c r="U18" s="3" t="s">
        <v>36</v>
      </c>
      <c r="V18" s="4">
        <v>10</v>
      </c>
      <c r="W18" s="3" t="s">
        <v>36</v>
      </c>
      <c r="X18" s="4">
        <v>5</v>
      </c>
      <c r="Y18" s="3" t="s">
        <v>37</v>
      </c>
      <c r="Z18" s="4">
        <v>10</v>
      </c>
      <c r="AA18" s="3" t="s">
        <v>37</v>
      </c>
      <c r="AB18" s="4">
        <v>10</v>
      </c>
      <c r="AC18" t="str">
        <f>_xlfn.TEXTJOIN(",",,"INSERT INTO assetList VALUES (",A18,B18,C18,F18,E18,G18,H18,I18,J18,K18,L18,N18,P18,Q18,R18,S18,T18,U18,V18,W18,X18,Y18,Z18,AA18,AB18,")")</f>
        <v>INSERT INTO assetList VALUES (,100002.2,Hotel,Hotel Old Town,8.54368,47.37362,3*,Niederdorfstrasse,17,8001,Zürich,Switzerland,DoubleStandard,2021-06-10 13:00:00.000000,2021-06-11 12:00:00.000000,25,true,10,true,10,true,5,false,10,false,10,)</v>
      </c>
    </row>
    <row r="19" spans="1:29" ht="17" hidden="1" customHeight="1" x14ac:dyDescent="0.2">
      <c r="A19" s="3" t="s">
        <v>198</v>
      </c>
      <c r="B19" s="3" t="s">
        <v>27</v>
      </c>
      <c r="C19" s="3" t="s">
        <v>38</v>
      </c>
      <c r="D19" s="5">
        <v>1.025182927285579</v>
      </c>
      <c r="E19" s="3" t="s">
        <v>40</v>
      </c>
      <c r="F19" s="3" t="s">
        <v>39</v>
      </c>
      <c r="G19" s="3" t="s">
        <v>31</v>
      </c>
      <c r="H19" s="3" t="s">
        <v>41</v>
      </c>
      <c r="I19" s="3">
        <v>17</v>
      </c>
      <c r="J19" s="3">
        <v>8001</v>
      </c>
      <c r="K19" s="3" t="s">
        <v>33</v>
      </c>
      <c r="L19" s="3" t="s">
        <v>34</v>
      </c>
      <c r="M19" s="3"/>
      <c r="N19" s="3" t="s">
        <v>180</v>
      </c>
      <c r="O19" s="3" t="s">
        <v>36</v>
      </c>
      <c r="P19" s="3" t="s">
        <v>183</v>
      </c>
      <c r="Q19" s="3" t="s">
        <v>189</v>
      </c>
      <c r="R19" s="4">
        <v>28</v>
      </c>
      <c r="S19" s="3" t="s">
        <v>36</v>
      </c>
      <c r="T19" s="4">
        <v>10</v>
      </c>
      <c r="U19" s="3" t="s">
        <v>36</v>
      </c>
      <c r="V19" s="4">
        <v>10</v>
      </c>
      <c r="W19" s="3" t="s">
        <v>36</v>
      </c>
      <c r="X19" s="4">
        <v>5</v>
      </c>
      <c r="Y19" s="3" t="s">
        <v>36</v>
      </c>
      <c r="Z19" s="4">
        <v>10</v>
      </c>
      <c r="AA19" s="3" t="s">
        <v>37</v>
      </c>
      <c r="AB19" s="4">
        <v>10</v>
      </c>
      <c r="AC19" t="str">
        <f>_xlfn.TEXTJOIN(",",,"INSERT INTO assetList VALUES (",A19,B19,C19,F19,E19,G19,H19,I19,J19,K19,L19,N19,P19,Q19,R19,S19,T19,U19,V19,W19,X19,Y19,Z19,AA19,AB19,")")</f>
        <v>INSERT INTO assetList VALUES (,100002.3,Hotel,Hotel Old Town,8.54368,47.37362,3*,Niederdorfstrasse,17,8001,Zürich,Switzerland,"DoubleSuperior",2021-06-10 13:00:00.000000,2021-06-11 12:00:00.000000,28,true,10,true,10,true,5,true,10,false,10,)</v>
      </c>
    </row>
    <row r="20" spans="1:29" ht="17" hidden="1" customHeight="1" x14ac:dyDescent="0.2">
      <c r="A20" s="3" t="s">
        <v>199</v>
      </c>
      <c r="B20" s="3" t="s">
        <v>27</v>
      </c>
      <c r="C20" s="3" t="s">
        <v>38</v>
      </c>
      <c r="D20" s="5">
        <v>1.025182927285579</v>
      </c>
      <c r="E20" s="3" t="s">
        <v>40</v>
      </c>
      <c r="F20" s="3" t="s">
        <v>39</v>
      </c>
      <c r="G20" s="3" t="s">
        <v>31</v>
      </c>
      <c r="H20" s="3" t="s">
        <v>41</v>
      </c>
      <c r="I20" s="3">
        <v>17</v>
      </c>
      <c r="J20" s="3">
        <v>8001</v>
      </c>
      <c r="K20" s="3" t="s">
        <v>33</v>
      </c>
      <c r="L20" s="3" t="s">
        <v>34</v>
      </c>
      <c r="M20" s="3"/>
      <c r="N20" s="3" t="s">
        <v>174</v>
      </c>
      <c r="O20" s="3" t="s">
        <v>36</v>
      </c>
      <c r="P20" s="3" t="s">
        <v>183</v>
      </c>
      <c r="Q20" s="3" t="s">
        <v>189</v>
      </c>
      <c r="R20" s="4">
        <v>24</v>
      </c>
      <c r="S20" s="3" t="s">
        <v>36</v>
      </c>
      <c r="T20" s="4">
        <v>10</v>
      </c>
      <c r="U20" s="3" t="s">
        <v>36</v>
      </c>
      <c r="V20" s="4">
        <v>10</v>
      </c>
      <c r="W20" s="3" t="s">
        <v>36</v>
      </c>
      <c r="X20" s="4">
        <v>5</v>
      </c>
      <c r="Y20" s="3" t="s">
        <v>36</v>
      </c>
      <c r="Z20" s="4">
        <v>10</v>
      </c>
      <c r="AA20" s="3" t="s">
        <v>37</v>
      </c>
      <c r="AB20" s="4">
        <v>10</v>
      </c>
      <c r="AC20" t="str">
        <f>_xlfn.TEXTJOIN(",",,"INSERT INTO assetList VALUES (",A20,B20,C20,F20,E20,G20,H20,I20,J20,K20,L20,N20,P20,Q20,R20,S20,T20,U20,V20,W20,X20,Y20,Z20,AA20,AB20,")")</f>
        <v>INSERT INTO assetList VALUES (,100002.4,Hotel,Hotel Old Town,8.54368,47.37362,3*,Niederdorfstrasse,17,8001,Zürich,Switzerland,"SingelBusiness",2021-06-10 13:00:00.000000,2021-06-11 12:00:00.000000,24,true,10,true,10,true,5,true,10,false,10,)</v>
      </c>
    </row>
    <row r="21" spans="1:29" ht="17" hidden="1" customHeight="1" x14ac:dyDescent="0.2">
      <c r="A21" s="3">
        <v>100033</v>
      </c>
      <c r="B21" s="3" t="s">
        <v>27</v>
      </c>
      <c r="C21" s="3" t="s">
        <v>158</v>
      </c>
      <c r="D21" s="5">
        <v>1.0329844268768338</v>
      </c>
      <c r="E21" s="3" t="s">
        <v>159</v>
      </c>
      <c r="F21" s="3" t="s">
        <v>39</v>
      </c>
      <c r="G21" s="3" t="s">
        <v>124</v>
      </c>
      <c r="H21" s="3" t="s">
        <v>160</v>
      </c>
      <c r="I21" s="3">
        <v>17</v>
      </c>
      <c r="J21" s="3">
        <v>8001</v>
      </c>
      <c r="K21" s="3" t="s">
        <v>33</v>
      </c>
      <c r="L21" s="3" t="s">
        <v>34</v>
      </c>
      <c r="M21" s="3"/>
      <c r="N21" s="3" t="s">
        <v>161</v>
      </c>
      <c r="O21" s="3" t="s">
        <v>36</v>
      </c>
      <c r="P21" s="3" t="s">
        <v>188</v>
      </c>
      <c r="Q21" s="3" t="s">
        <v>190</v>
      </c>
      <c r="R21" s="4">
        <v>40</v>
      </c>
      <c r="S21" s="3" t="s">
        <v>36</v>
      </c>
      <c r="T21" s="4">
        <v>15</v>
      </c>
      <c r="U21" s="3" t="s">
        <v>36</v>
      </c>
      <c r="V21" s="4">
        <v>15</v>
      </c>
      <c r="W21" s="3" t="s">
        <v>36</v>
      </c>
      <c r="X21" s="4">
        <v>8</v>
      </c>
      <c r="Y21" s="3" t="s">
        <v>36</v>
      </c>
      <c r="Z21" s="4">
        <v>10</v>
      </c>
      <c r="AA21" s="3" t="s">
        <v>36</v>
      </c>
      <c r="AB21" s="4">
        <v>10</v>
      </c>
      <c r="AC21" t="str">
        <f>_xlfn.TEXTJOIN(",",,"INSERT INTO assetList VALUES (",A21,B21,C21,F21,E21,G21,H21,I21,J21,K21,L21,N21,P21,Q21,R21,S21,T21,U21,V21,W21,X21,Y21,Z21,AA21,AB21,")")</f>
        <v>INSERT INTO assetList VALUES (,100033,Hotel,Hotel Marktgasse,8.54368,47.37201,4*,Marktgasse,17,8001,Zürich,Switzerland,JuniorSuite,2021-06-10 16:00:00.000000,2021-08-19 15:00:00.000000,40,true,15,true,15,true,8,true,10,true,10,)</v>
      </c>
    </row>
    <row r="22" spans="1:29" ht="17" hidden="1" customHeight="1" x14ac:dyDescent="0.2">
      <c r="A22" s="3">
        <v>100029</v>
      </c>
      <c r="B22" s="3" t="s">
        <v>27</v>
      </c>
      <c r="C22" s="3" t="s">
        <v>144</v>
      </c>
      <c r="D22" s="5">
        <v>1.0431838564850318</v>
      </c>
      <c r="E22" s="3" t="s">
        <v>146</v>
      </c>
      <c r="F22" s="3" t="s">
        <v>145</v>
      </c>
      <c r="G22" s="3" t="s">
        <v>124</v>
      </c>
      <c r="H22" s="3" t="s">
        <v>41</v>
      </c>
      <c r="I22" s="3">
        <v>10</v>
      </c>
      <c r="J22" s="3">
        <v>8001</v>
      </c>
      <c r="K22" s="3" t="s">
        <v>33</v>
      </c>
      <c r="L22" s="3" t="s">
        <v>34</v>
      </c>
      <c r="M22" s="3"/>
      <c r="N22" s="3" t="s">
        <v>143</v>
      </c>
      <c r="O22" s="3" t="s">
        <v>36</v>
      </c>
      <c r="P22" s="3" t="s">
        <v>188</v>
      </c>
      <c r="Q22" s="3" t="s">
        <v>190</v>
      </c>
      <c r="R22" s="4">
        <v>34</v>
      </c>
      <c r="S22" s="3" t="s">
        <v>36</v>
      </c>
      <c r="T22" s="4">
        <v>15</v>
      </c>
      <c r="U22" s="3" t="s">
        <v>36</v>
      </c>
      <c r="V22" s="4">
        <v>15</v>
      </c>
      <c r="W22" s="3" t="s">
        <v>37</v>
      </c>
      <c r="X22" s="4">
        <v>8</v>
      </c>
      <c r="Y22" s="3" t="s">
        <v>36</v>
      </c>
      <c r="Z22" s="4">
        <v>10</v>
      </c>
      <c r="AA22" s="3" t="s">
        <v>36</v>
      </c>
      <c r="AB22" s="4">
        <v>10</v>
      </c>
      <c r="AC22" t="str">
        <f>_xlfn.TEXTJOIN(",",,"INSERT INTO assetList VALUES (",A22,B22,C22,F22,E22,G22,H22,I22,J22,K22,L22,N22,P22,Q22,R22,S22,T22,U22,V22,W22,X22,Y22,Z22,AA22,AB22,")")</f>
        <v>INSERT INTO assetList VALUES (,100029,Hotel,Hotel Wellenberg,8.54393,47.37306,4*,Niederdorfstrasse,10,8001,Zürich,Switzerland,DoubleSuperior,2021-06-10 16:00:00.000000,2021-08-19 15:00:00.000000,34,true,15,true,15,false,8,true,10,true,10,)</v>
      </c>
    </row>
    <row r="23" spans="1:29" ht="17" hidden="1" customHeight="1" x14ac:dyDescent="0.2">
      <c r="A23" s="3">
        <v>100012</v>
      </c>
      <c r="B23" s="3" t="s">
        <v>27</v>
      </c>
      <c r="C23" s="3" t="s">
        <v>76</v>
      </c>
      <c r="D23" s="5">
        <v>1.0488430145702095</v>
      </c>
      <c r="E23" s="3" t="s">
        <v>78</v>
      </c>
      <c r="F23" s="3" t="s">
        <v>77</v>
      </c>
      <c r="G23" s="3" t="s">
        <v>31</v>
      </c>
      <c r="H23" s="3" t="s">
        <v>79</v>
      </c>
      <c r="I23" s="3">
        <v>3</v>
      </c>
      <c r="J23" s="3">
        <v>8001</v>
      </c>
      <c r="K23" s="3" t="s">
        <v>33</v>
      </c>
      <c r="L23" s="3" t="s">
        <v>34</v>
      </c>
      <c r="M23" s="3"/>
      <c r="N23" s="3" t="s">
        <v>53</v>
      </c>
      <c r="O23" s="3" t="s">
        <v>36</v>
      </c>
      <c r="P23" s="3" t="s">
        <v>185</v>
      </c>
      <c r="Q23" s="3" t="s">
        <v>189</v>
      </c>
      <c r="R23" s="4">
        <v>25</v>
      </c>
      <c r="S23" s="3" t="s">
        <v>36</v>
      </c>
      <c r="T23" s="4">
        <v>10</v>
      </c>
      <c r="U23" s="3" t="s">
        <v>36</v>
      </c>
      <c r="V23" s="4">
        <v>10</v>
      </c>
      <c r="W23" s="3" t="s">
        <v>37</v>
      </c>
      <c r="X23" s="4">
        <v>5</v>
      </c>
      <c r="Y23" s="3" t="s">
        <v>37</v>
      </c>
      <c r="Z23" s="4">
        <v>10</v>
      </c>
      <c r="AA23" s="3" t="s">
        <v>37</v>
      </c>
      <c r="AB23" s="4">
        <v>10</v>
      </c>
      <c r="AC23" t="str">
        <f>_xlfn.TEXTJOIN(",",,"INSERT INTO assetList VALUES (",A23,B23,C23,F23,E23,G23,H23,I23,J23,K23,L23,N23,P23,Q23,R23,S23,T23,U23,V23,W23,X23,Y23,Z23,AA23,AB23,")")</f>
        <v>INSERT INTO assetList VALUES (,100012,Hotel,Hotel Platzhirsch,8.544,47.37352,3*,Spitalgasse,3,8001,Zürich,Switzerland,DoubleStandard,2021-06-10 14:00:00.000000,2021-06-11 12:00:00.000000,25,true,10,true,10,false,5,false,10,false,10,)</v>
      </c>
    </row>
    <row r="24" spans="1:29" ht="17" hidden="1" customHeight="1" x14ac:dyDescent="0.2">
      <c r="A24" s="3" t="s">
        <v>243</v>
      </c>
      <c r="B24" s="3" t="s">
        <v>27</v>
      </c>
      <c r="C24" s="3" t="s">
        <v>50</v>
      </c>
      <c r="D24" s="5">
        <v>1.0514141682689133</v>
      </c>
      <c r="E24" s="3" t="s">
        <v>52</v>
      </c>
      <c r="F24" s="3" t="s">
        <v>51</v>
      </c>
      <c r="G24" s="3" t="s">
        <v>31</v>
      </c>
      <c r="H24" s="3" t="s">
        <v>41</v>
      </c>
      <c r="I24" s="3">
        <v>40</v>
      </c>
      <c r="J24" s="3">
        <v>8001</v>
      </c>
      <c r="K24" s="3" t="s">
        <v>33</v>
      </c>
      <c r="L24" s="3" t="s">
        <v>34</v>
      </c>
      <c r="M24" s="3"/>
      <c r="N24" s="3" t="s">
        <v>53</v>
      </c>
      <c r="O24" s="3" t="s">
        <v>36</v>
      </c>
      <c r="P24" s="3" t="s">
        <v>183</v>
      </c>
      <c r="Q24" s="3" t="s">
        <v>189</v>
      </c>
      <c r="R24" s="4">
        <v>23</v>
      </c>
      <c r="S24" s="3" t="s">
        <v>36</v>
      </c>
      <c r="T24" s="4">
        <v>10</v>
      </c>
      <c r="U24" s="3" t="s">
        <v>36</v>
      </c>
      <c r="V24" s="4">
        <v>10</v>
      </c>
      <c r="W24" s="3" t="s">
        <v>36</v>
      </c>
      <c r="X24" s="4">
        <v>5</v>
      </c>
      <c r="Y24" s="3" t="s">
        <v>37</v>
      </c>
      <c r="Z24" s="4">
        <v>10</v>
      </c>
      <c r="AA24" s="3" t="s">
        <v>36</v>
      </c>
      <c r="AB24" s="4">
        <v>10</v>
      </c>
      <c r="AC24" t="str">
        <f>_xlfn.TEXTJOIN(",",,"INSERT INTO assetList VALUES (",A24,B24,C24,F24,E24,G24,H24,I24,J24,K24,L24,N24,P24,Q24,R24,S24,T24,U24,V24,W24,X24,Y24,Z24,AA24,AB24,")")</f>
        <v>INSERT INTO assetList VALUES (,100005,Hotel,Hotel Alexander,8.5439,47.37456,3*,Niederdorfstrasse,40,8001,Zürich,Switzerland,DoubleStandard,2021-06-10 13:00:00.000000,2021-06-11 12:00:00.000000,23,true,10,true,10,true,5,false,10,true,10,)</v>
      </c>
    </row>
    <row r="25" spans="1:29" ht="17" hidden="1" customHeight="1" x14ac:dyDescent="0.2">
      <c r="A25" s="3">
        <v>100025</v>
      </c>
      <c r="B25" s="3" t="s">
        <v>27</v>
      </c>
      <c r="C25" s="3" t="s">
        <v>130</v>
      </c>
      <c r="D25" s="5">
        <v>1.10287952800294</v>
      </c>
      <c r="E25" s="3" t="s">
        <v>132</v>
      </c>
      <c r="F25" s="3" t="s">
        <v>131</v>
      </c>
      <c r="G25" s="3" t="s">
        <v>124</v>
      </c>
      <c r="H25" s="3" t="s">
        <v>133</v>
      </c>
      <c r="I25" s="3">
        <v>1</v>
      </c>
      <c r="J25" s="3">
        <v>8001</v>
      </c>
      <c r="K25" s="3" t="s">
        <v>33</v>
      </c>
      <c r="L25" s="3" t="s">
        <v>34</v>
      </c>
      <c r="M25" s="3"/>
      <c r="N25" s="3" t="s">
        <v>53</v>
      </c>
      <c r="O25" s="3" t="s">
        <v>36</v>
      </c>
      <c r="P25" s="3" t="s">
        <v>187</v>
      </c>
      <c r="Q25" s="3" t="s">
        <v>190</v>
      </c>
      <c r="R25" s="4">
        <v>32</v>
      </c>
      <c r="S25" s="3" t="s">
        <v>36</v>
      </c>
      <c r="T25" s="4">
        <v>15</v>
      </c>
      <c r="U25" s="3" t="s">
        <v>36</v>
      </c>
      <c r="V25" s="4">
        <v>15</v>
      </c>
      <c r="W25" s="3" t="s">
        <v>37</v>
      </c>
      <c r="X25" s="4">
        <v>8</v>
      </c>
      <c r="Y25" s="3" t="s">
        <v>36</v>
      </c>
      <c r="Z25" s="4">
        <v>10</v>
      </c>
      <c r="AA25" s="3" t="s">
        <v>36</v>
      </c>
      <c r="AB25" s="4">
        <v>10</v>
      </c>
      <c r="AC25" t="str">
        <f>_xlfn.TEXTJOIN(",",,"INSERT INTO assetList VALUES (",A25,B25,C25,F25,E25,G25,H25,I25,J25,K25,L25,N25,P25,Q25,R25,S25,T25,U25,V25,W25,X25,Y25,Z25,AA25,AB25,")")</f>
        <v>INSERT INTO assetList VALUES (,100025,Hotel,Hotel Central Plaza,8.5436,47.37703,4*,Central,1,8001,Zürich,Switzerland,DoubleStandard,2021-06-10 15:00:00.000000,2021-08-19 15:00:00.000000,32,true,15,true,15,false,8,true,10,true,10,)</v>
      </c>
    </row>
    <row r="26" spans="1:29" ht="17" customHeight="1" x14ac:dyDescent="0.2">
      <c r="A26" s="3">
        <v>100017</v>
      </c>
      <c r="B26" s="3" t="s">
        <v>27</v>
      </c>
      <c r="C26" s="3" t="s">
        <v>96</v>
      </c>
      <c r="D26" s="5">
        <v>1.1075140841777489</v>
      </c>
      <c r="E26" s="3" t="s">
        <v>98</v>
      </c>
      <c r="F26" s="3" t="s">
        <v>97</v>
      </c>
      <c r="G26" s="3" t="s">
        <v>31</v>
      </c>
      <c r="H26" s="3" t="s">
        <v>49</v>
      </c>
      <c r="I26" s="3">
        <v>21</v>
      </c>
      <c r="J26" s="3">
        <v>8001</v>
      </c>
      <c r="K26" s="3" t="s">
        <v>33</v>
      </c>
      <c r="L26" s="3" t="s">
        <v>34</v>
      </c>
      <c r="M26" s="3"/>
      <c r="N26" s="3" t="s">
        <v>53</v>
      </c>
      <c r="O26" s="3" t="s">
        <v>36</v>
      </c>
      <c r="P26" s="3" t="s">
        <v>272</v>
      </c>
      <c r="Q26" s="3" t="s">
        <v>273</v>
      </c>
      <c r="R26" s="4">
        <v>25</v>
      </c>
      <c r="S26" s="3" t="s">
        <v>36</v>
      </c>
      <c r="T26" s="4">
        <v>10</v>
      </c>
      <c r="U26" s="3" t="s">
        <v>36</v>
      </c>
      <c r="V26" s="4">
        <v>10</v>
      </c>
      <c r="W26" s="3" t="s">
        <v>36</v>
      </c>
      <c r="X26" s="4">
        <v>5</v>
      </c>
      <c r="Y26" s="3" t="s">
        <v>37</v>
      </c>
      <c r="Z26" s="4">
        <v>10</v>
      </c>
      <c r="AA26" s="3" t="s">
        <v>37</v>
      </c>
      <c r="AB26" s="4">
        <v>10</v>
      </c>
      <c r="AC26" t="str">
        <f>_xlfn.TEXTJOIN(",",,"INSERT INTO assetList VALUES (",A26,B26,C26,F26,E26,G26,H26,I26,J26,K26,L26,N26,P26,Q26,R26,S26,T26,U26,V26,W26,X26,Y26,Z26,AA26,AB26,")")</f>
        <v>INSERT INTO assetList VALUES (,100017,Hotel,Hotel Zürcherhof Beste Western Plus,8.54433,47.37568,3*,Zähringerstrasse,21,8001,Zürich,Switzerland,DoubleStandard,2021-06-11 14:00:00.000000,2021-06-12 17:00:00.000000,25,true,10,true,10,true,5,false,10,false,10,)</v>
      </c>
    </row>
    <row r="27" spans="1:29" ht="17" hidden="1" customHeight="1" x14ac:dyDescent="0.2">
      <c r="A27" s="3">
        <v>100010</v>
      </c>
      <c r="B27" s="3" t="s">
        <v>27</v>
      </c>
      <c r="C27" s="3" t="s">
        <v>70</v>
      </c>
      <c r="D27" s="5">
        <v>1.1117052696993197</v>
      </c>
      <c r="E27" s="3" t="s">
        <v>72</v>
      </c>
      <c r="F27" s="3" t="s">
        <v>71</v>
      </c>
      <c r="G27" s="3" t="s">
        <v>31</v>
      </c>
      <c r="H27" s="3" t="s">
        <v>49</v>
      </c>
      <c r="I27" s="3">
        <v>25</v>
      </c>
      <c r="J27" s="3">
        <v>8001</v>
      </c>
      <c r="K27" s="3" t="s">
        <v>33</v>
      </c>
      <c r="L27" s="3" t="s">
        <v>34</v>
      </c>
      <c r="M27" s="3"/>
      <c r="N27" s="3" t="s">
        <v>53</v>
      </c>
      <c r="O27" s="3" t="s">
        <v>36</v>
      </c>
      <c r="P27" s="3" t="s">
        <v>184</v>
      </c>
      <c r="Q27" s="3" t="s">
        <v>189</v>
      </c>
      <c r="R27" s="4">
        <v>25</v>
      </c>
      <c r="S27" s="3" t="s">
        <v>36</v>
      </c>
      <c r="T27" s="4">
        <v>10</v>
      </c>
      <c r="U27" s="3" t="s">
        <v>36</v>
      </c>
      <c r="V27" s="4">
        <v>10</v>
      </c>
      <c r="W27" s="3" t="s">
        <v>37</v>
      </c>
      <c r="X27" s="4">
        <v>5</v>
      </c>
      <c r="Y27" s="3" t="s">
        <v>37</v>
      </c>
      <c r="Z27" s="4">
        <v>10</v>
      </c>
      <c r="AA27" s="3" t="s">
        <v>36</v>
      </c>
      <c r="AB27" s="4">
        <v>10</v>
      </c>
      <c r="AC27" t="str">
        <f>_xlfn.TEXTJOIN(",",,"INSERT INTO assetList VALUES (",A27,B27,C27,F27,E27,G27,H27,I27,J27,K27,L27,N27,P27,Q27,R27,S27,T27,U27,V27,W27,X27,Y27,Z27,AA27,AB27,")")</f>
        <v>INSERT INTO assetList VALUES (,100010,Hotel,Hotel Felix Zürich,8.54454,47.37523,3*,Zähringerstrasse,25,8001,Zürich,Switzerland,DoubleStandard,2021-06-10 13:30:00.000000,2021-06-11 12:00:00.000000,25,true,10,true,10,false,5,false,10,true,10,)</v>
      </c>
    </row>
    <row r="28" spans="1:29" ht="17" customHeight="1" x14ac:dyDescent="0.2">
      <c r="A28" s="3">
        <v>100014</v>
      </c>
      <c r="B28" s="3" t="s">
        <v>27</v>
      </c>
      <c r="C28" s="3" t="s">
        <v>84</v>
      </c>
      <c r="D28" s="5">
        <v>1.1228196240096313</v>
      </c>
      <c r="E28" s="3" t="s">
        <v>86</v>
      </c>
      <c r="F28" s="3" t="s">
        <v>85</v>
      </c>
      <c r="G28" s="3" t="s">
        <v>31</v>
      </c>
      <c r="H28" s="3" t="s">
        <v>87</v>
      </c>
      <c r="I28" s="3">
        <v>17</v>
      </c>
      <c r="J28" s="3">
        <v>8001</v>
      </c>
      <c r="K28" s="3" t="s">
        <v>33</v>
      </c>
      <c r="L28" s="3" t="s">
        <v>34</v>
      </c>
      <c r="M28" s="3"/>
      <c r="N28" s="3" t="s">
        <v>53</v>
      </c>
      <c r="O28" s="3" t="s">
        <v>36</v>
      </c>
      <c r="P28" s="3" t="s">
        <v>272</v>
      </c>
      <c r="Q28" s="3" t="s">
        <v>273</v>
      </c>
      <c r="R28" s="4">
        <v>25</v>
      </c>
      <c r="S28" s="3" t="s">
        <v>36</v>
      </c>
      <c r="T28" s="4">
        <v>10</v>
      </c>
      <c r="U28" s="3" t="s">
        <v>36</v>
      </c>
      <c r="V28" s="4">
        <v>10</v>
      </c>
      <c r="W28" s="3" t="s">
        <v>37</v>
      </c>
      <c r="X28" s="4">
        <v>5</v>
      </c>
      <c r="Y28" s="3" t="s">
        <v>37</v>
      </c>
      <c r="Z28" s="4">
        <v>10</v>
      </c>
      <c r="AA28" s="3" t="s">
        <v>37</v>
      </c>
      <c r="AB28" s="4">
        <v>10</v>
      </c>
      <c r="AC28" t="str">
        <f>_xlfn.TEXTJOIN(",",,"INSERT INTO assetList VALUES (",A28,B28,C28,F28,E28,G28,H28,I28,J28,K28,L28,N28,P28,Q28,R28,S28,T28,U28,V28,W28,X28,Y28,Z28,AA28,AB28,")")</f>
        <v>INSERT INTO assetList VALUES (,100014,Hotel,Hotel Scheuble,8.54488,47.37444,3*,Mühlegasse,17,8001,Zürich,Switzerland,DoubleStandard,2021-06-11 14:00:00.000000,2021-06-12 17:00:00.000000,25,true,10,true,10,false,5,false,10,false,10,)</v>
      </c>
    </row>
    <row r="29" spans="1:29" ht="17" hidden="1" customHeight="1" x14ac:dyDescent="0.2">
      <c r="A29" s="3" t="s">
        <v>196</v>
      </c>
      <c r="B29" s="3" t="s">
        <v>27</v>
      </c>
      <c r="C29" s="3" t="s">
        <v>46</v>
      </c>
      <c r="D29" s="5">
        <v>1.1334278140336607</v>
      </c>
      <c r="E29" s="3" t="s">
        <v>48</v>
      </c>
      <c r="F29" s="3" t="s">
        <v>47</v>
      </c>
      <c r="G29" s="3" t="s">
        <v>31</v>
      </c>
      <c r="H29" s="3" t="s">
        <v>49</v>
      </c>
      <c r="I29" s="3">
        <v>43</v>
      </c>
      <c r="J29" s="3">
        <v>8001</v>
      </c>
      <c r="K29" s="3" t="s">
        <v>33</v>
      </c>
      <c r="L29" s="3" t="s">
        <v>34</v>
      </c>
      <c r="M29" s="3"/>
      <c r="N29" s="3" t="s">
        <v>35</v>
      </c>
      <c r="O29" s="3" t="s">
        <v>36</v>
      </c>
      <c r="P29" s="3" t="s">
        <v>183</v>
      </c>
      <c r="Q29" s="3" t="s">
        <v>189</v>
      </c>
      <c r="R29" s="4">
        <v>20</v>
      </c>
      <c r="S29" s="3" t="s">
        <v>36</v>
      </c>
      <c r="T29" s="4">
        <v>10</v>
      </c>
      <c r="U29" s="3" t="s">
        <v>36</v>
      </c>
      <c r="V29" s="4">
        <v>10</v>
      </c>
      <c r="W29" s="3" t="s">
        <v>36</v>
      </c>
      <c r="X29" s="4">
        <v>5</v>
      </c>
      <c r="Y29" s="3" t="s">
        <v>37</v>
      </c>
      <c r="Z29" s="4">
        <v>10</v>
      </c>
      <c r="AA29" s="3" t="s">
        <v>36</v>
      </c>
      <c r="AB29" s="4">
        <v>10</v>
      </c>
      <c r="AC29" t="str">
        <f>_xlfn.TEXTJOIN(",",,"INSERT INTO assetList VALUES (",A29,B29,C29,F29,E29,G29,H29,I29,J29,K29,L29,N29,P29,Q29,R29,S29,T29,U29,V29,W29,X29,Y29,Z29,AA29,AB29,")")</f>
        <v>INSERT INTO assetList VALUES (,100004.1,Hotel,Hotel Sorell Rüti,8.54449,47.37616,3*,Zähringerstrasse,43,8001,Zürich,Switzerland,SingleStandard,2021-06-10 13:00:00.000000,2021-06-11 12:00:00.000000,20,true,10,true,10,true,5,false,10,true,10,)</v>
      </c>
    </row>
    <row r="30" spans="1:29" ht="17" hidden="1" customHeight="1" x14ac:dyDescent="0.2">
      <c r="A30" s="3" t="s">
        <v>201</v>
      </c>
      <c r="B30" s="3" t="s">
        <v>27</v>
      </c>
      <c r="C30" s="3" t="s">
        <v>46</v>
      </c>
      <c r="D30" s="5">
        <v>1.1334278140336607</v>
      </c>
      <c r="E30" s="3" t="s">
        <v>48</v>
      </c>
      <c r="F30" s="3" t="s">
        <v>47</v>
      </c>
      <c r="G30" s="3" t="s">
        <v>31</v>
      </c>
      <c r="H30" s="3" t="s">
        <v>49</v>
      </c>
      <c r="I30" s="3">
        <v>43</v>
      </c>
      <c r="J30" s="3">
        <v>8001</v>
      </c>
      <c r="K30" s="3" t="s">
        <v>33</v>
      </c>
      <c r="L30" s="3" t="s">
        <v>34</v>
      </c>
      <c r="M30" s="3"/>
      <c r="N30" s="3" t="s">
        <v>103</v>
      </c>
      <c r="O30" s="3" t="s">
        <v>36</v>
      </c>
      <c r="P30" s="3" t="s">
        <v>183</v>
      </c>
      <c r="Q30" s="3" t="s">
        <v>189</v>
      </c>
      <c r="R30" s="4">
        <v>30</v>
      </c>
      <c r="S30" s="3" t="s">
        <v>36</v>
      </c>
      <c r="T30" s="4">
        <v>10</v>
      </c>
      <c r="U30" s="3" t="s">
        <v>36</v>
      </c>
      <c r="V30" s="4">
        <v>10</v>
      </c>
      <c r="W30" s="3" t="s">
        <v>36</v>
      </c>
      <c r="X30" s="4">
        <v>5</v>
      </c>
      <c r="Y30" s="3" t="s">
        <v>37</v>
      </c>
      <c r="Z30" s="4">
        <v>10</v>
      </c>
      <c r="AA30" s="3" t="s">
        <v>36</v>
      </c>
      <c r="AB30" s="4">
        <v>10</v>
      </c>
      <c r="AC30" t="str">
        <f>_xlfn.TEXTJOIN(",",,"INSERT INTO assetList VALUES (",A30,B30,C30,F30,E30,G30,H30,I30,J30,K30,L30,N30,P30,Q30,R30,S30,T30,U30,V30,W30,X30,Y30,Z30,AA30,AB30,")")</f>
        <v>INSERT INTO assetList VALUES (,100004.2,Hotel,Hotel Sorell Rüti,8.54449,47.37616,3*,Zähringerstrasse,43,8001,Zürich,Switzerland,DoubleBusiness,2021-06-10 13:00:00.000000,2021-06-11 12:00:00.000000,30,true,10,true,10,true,5,false,10,true,10,)</v>
      </c>
    </row>
    <row r="31" spans="1:29" ht="17" hidden="1" customHeight="1" x14ac:dyDescent="0.2">
      <c r="A31" s="3" t="s">
        <v>248</v>
      </c>
      <c r="B31" s="3" t="s">
        <v>27</v>
      </c>
      <c r="C31" s="3" t="s">
        <v>134</v>
      </c>
      <c r="D31" s="5">
        <v>1.1334278140336607</v>
      </c>
      <c r="E31" s="3" t="s">
        <v>48</v>
      </c>
      <c r="F31" s="3" t="s">
        <v>47</v>
      </c>
      <c r="G31" s="3" t="s">
        <v>124</v>
      </c>
      <c r="H31" s="3" t="s">
        <v>135</v>
      </c>
      <c r="I31" s="3">
        <v>1</v>
      </c>
      <c r="J31" s="3">
        <v>8006</v>
      </c>
      <c r="K31" s="3" t="s">
        <v>33</v>
      </c>
      <c r="L31" s="3" t="s">
        <v>34</v>
      </c>
      <c r="M31" s="3"/>
      <c r="N31" s="3" t="s">
        <v>35</v>
      </c>
      <c r="O31" s="3" t="s">
        <v>36</v>
      </c>
      <c r="P31" s="3" t="s">
        <v>187</v>
      </c>
      <c r="Q31" s="3" t="s">
        <v>190</v>
      </c>
      <c r="R31" s="4">
        <v>32</v>
      </c>
      <c r="S31" s="3" t="s">
        <v>36</v>
      </c>
      <c r="T31" s="4">
        <v>12</v>
      </c>
      <c r="U31" s="3" t="s">
        <v>36</v>
      </c>
      <c r="V31" s="4">
        <v>12</v>
      </c>
      <c r="W31" s="3" t="s">
        <v>37</v>
      </c>
      <c r="X31" s="4">
        <v>8</v>
      </c>
      <c r="Y31" s="3" t="s">
        <v>36</v>
      </c>
      <c r="Z31" s="4">
        <v>10</v>
      </c>
      <c r="AA31" s="3" t="s">
        <v>36</v>
      </c>
      <c r="AB31" s="4">
        <v>10</v>
      </c>
      <c r="AC31" t="str">
        <f>_xlfn.TEXTJOIN(",",,"INSERT INTO assetList VALUES (",A31,B31,C31,F31,E31,G31,H31,I31,J31,K31,L31,N31,P31,Q31,R31,S31,T31,U31,V31,W31,X31,Y31,Z31,AA31,AB31,")")</f>
        <v>INSERT INTO assetList VALUES (,100026.1,Hotel,Hotel EMA House Suites,8.54449,47.37616,4*,Nordstrasse,1,8006,Zürich,Switzerland,SingleStandard,2021-06-10 15:00:00.000000,2021-08-19 15:00:00.000000,32,true,12,true,12,false,8,true,10,true,10,)</v>
      </c>
    </row>
    <row r="32" spans="1:29" ht="17" hidden="1" customHeight="1" x14ac:dyDescent="0.2">
      <c r="A32" s="3" t="s">
        <v>249</v>
      </c>
      <c r="B32" s="3" t="s">
        <v>27</v>
      </c>
      <c r="C32" s="3" t="s">
        <v>134</v>
      </c>
      <c r="D32" s="5">
        <v>1.1334278140336607</v>
      </c>
      <c r="E32" s="3" t="s">
        <v>48</v>
      </c>
      <c r="F32" s="3" t="s">
        <v>47</v>
      </c>
      <c r="G32" s="3" t="s">
        <v>124</v>
      </c>
      <c r="H32" s="3" t="s">
        <v>135</v>
      </c>
      <c r="I32" s="3">
        <v>1</v>
      </c>
      <c r="J32" s="3">
        <v>8006</v>
      </c>
      <c r="K32" s="3" t="s">
        <v>33</v>
      </c>
      <c r="L32" s="3" t="s">
        <v>34</v>
      </c>
      <c r="M32" s="3"/>
      <c r="N32" s="3" t="s">
        <v>53</v>
      </c>
      <c r="O32" s="3" t="s">
        <v>36</v>
      </c>
      <c r="P32" s="3" t="s">
        <v>187</v>
      </c>
      <c r="Q32" s="3" t="s">
        <v>190</v>
      </c>
      <c r="R32" s="4">
        <v>34</v>
      </c>
      <c r="S32" s="3" t="s">
        <v>36</v>
      </c>
      <c r="T32" s="4">
        <v>15</v>
      </c>
      <c r="U32" s="3" t="s">
        <v>36</v>
      </c>
      <c r="V32" s="4">
        <v>15</v>
      </c>
      <c r="W32" s="3" t="s">
        <v>37</v>
      </c>
      <c r="X32" s="4">
        <v>8</v>
      </c>
      <c r="Y32" s="3" t="s">
        <v>36</v>
      </c>
      <c r="Z32" s="4">
        <v>10</v>
      </c>
      <c r="AA32" s="3" t="s">
        <v>36</v>
      </c>
      <c r="AB32" s="4">
        <v>10</v>
      </c>
      <c r="AC32" t="str">
        <f>_xlfn.TEXTJOIN(",",,"INSERT INTO assetList VALUES (",A32,B32,C32,F32,E32,G32,H32,I32,J32,K32,L32,N32,P32,Q32,R32,S32,T32,U32,V32,W32,X32,Y32,Z32,AA32,AB32,")")</f>
        <v>INSERT INTO assetList VALUES (,100026.2,Hotel,Hotel EMA House Suites,8.54449,47.37616,4*,Nordstrasse,1,8006,Zürich,Switzerland,DoubleStandard,2021-06-10 15:00:00.000000,2021-08-19 15:00:00.000000,34,true,15,true,15,false,8,true,10,true,10,)</v>
      </c>
    </row>
    <row r="33" spans="1:39" ht="17" hidden="1" customHeight="1" x14ac:dyDescent="0.2">
      <c r="A33" s="3" t="s">
        <v>191</v>
      </c>
      <c r="B33" s="3" t="s">
        <v>27</v>
      </c>
      <c r="C33" s="3" t="s">
        <v>28</v>
      </c>
      <c r="D33" s="5">
        <v>1.1403721388618027</v>
      </c>
      <c r="E33" s="3" t="s">
        <v>30</v>
      </c>
      <c r="F33" s="3" t="s">
        <v>29</v>
      </c>
      <c r="G33" s="3" t="s">
        <v>31</v>
      </c>
      <c r="H33" s="3" t="s">
        <v>32</v>
      </c>
      <c r="I33" s="3">
        <v>4</v>
      </c>
      <c r="J33" s="3">
        <v>8001</v>
      </c>
      <c r="K33" s="3" t="s">
        <v>33</v>
      </c>
      <c r="L33" s="3" t="s">
        <v>34</v>
      </c>
      <c r="M33" s="3"/>
      <c r="N33" s="3" t="s">
        <v>35</v>
      </c>
      <c r="O33" s="3" t="s">
        <v>36</v>
      </c>
      <c r="P33" s="3" t="s">
        <v>183</v>
      </c>
      <c r="Q33" s="3" t="s">
        <v>189</v>
      </c>
      <c r="R33" s="4">
        <v>20</v>
      </c>
      <c r="S33" s="3" t="s">
        <v>36</v>
      </c>
      <c r="T33" s="4">
        <v>10</v>
      </c>
      <c r="U33" s="3" t="s">
        <v>36</v>
      </c>
      <c r="V33" s="4">
        <v>10</v>
      </c>
      <c r="W33" s="3" t="s">
        <v>36</v>
      </c>
      <c r="X33" s="4">
        <v>5</v>
      </c>
      <c r="Y33" s="3" t="s">
        <v>37</v>
      </c>
      <c r="Z33" s="4">
        <v>10</v>
      </c>
      <c r="AA33" s="3" t="s">
        <v>37</v>
      </c>
      <c r="AB33" s="4">
        <v>10</v>
      </c>
      <c r="AC33" t="str">
        <f>_xlfn.TEXTJOIN(",",,"INSERT INTO assetList VALUES (",A33,B33,C33,F33,E33,G33,H33,I33,J33,K33,L33,N33,P33,Q33,R33,S33,T33,U33,V33,W33,X33,Y33,Z33,AA33,AB33,")")</f>
        <v>INSERT INTO assetList VALUES (,100001.1,Hotel,Hotel Altstadt,8.54411,47.36936,3*,Kirchgasse,4,8001,Zürich,Switzerland,SingleStandard,2021-06-10 13:00:00.000000,2021-06-11 12:00:00.000000,20,true,10,true,10,true,5,false,10,false,10,)</v>
      </c>
    </row>
    <row r="34" spans="1:39" ht="17" hidden="1" customHeight="1" x14ac:dyDescent="0.2">
      <c r="A34" s="3" t="s">
        <v>192</v>
      </c>
      <c r="B34" s="3" t="s">
        <v>27</v>
      </c>
      <c r="C34" s="3" t="s">
        <v>28</v>
      </c>
      <c r="D34" s="5">
        <v>1.1403721388618027</v>
      </c>
      <c r="E34" s="3" t="s">
        <v>30</v>
      </c>
      <c r="F34" s="3" t="s">
        <v>29</v>
      </c>
      <c r="G34" s="3" t="s">
        <v>31</v>
      </c>
      <c r="H34" s="3" t="s">
        <v>32</v>
      </c>
      <c r="I34" s="3">
        <v>4</v>
      </c>
      <c r="J34" s="3">
        <v>8001</v>
      </c>
      <c r="K34" s="3" t="s">
        <v>33</v>
      </c>
      <c r="L34" s="3" t="s">
        <v>34</v>
      </c>
      <c r="M34" s="3"/>
      <c r="N34" s="3" t="s">
        <v>174</v>
      </c>
      <c r="O34" s="3" t="s">
        <v>36</v>
      </c>
      <c r="P34" s="3" t="s">
        <v>183</v>
      </c>
      <c r="Q34" s="3" t="s">
        <v>189</v>
      </c>
      <c r="R34" s="4">
        <v>25</v>
      </c>
      <c r="S34" s="3" t="s">
        <v>36</v>
      </c>
      <c r="T34" s="4">
        <v>10</v>
      </c>
      <c r="U34" s="3" t="s">
        <v>36</v>
      </c>
      <c r="V34" s="4">
        <v>10</v>
      </c>
      <c r="W34" s="3" t="s">
        <v>36</v>
      </c>
      <c r="X34" s="4">
        <v>5</v>
      </c>
      <c r="Y34" s="3" t="s">
        <v>37</v>
      </c>
      <c r="Z34" s="4">
        <v>10</v>
      </c>
      <c r="AA34" s="3" t="s">
        <v>37</v>
      </c>
      <c r="AB34" s="4">
        <v>10</v>
      </c>
      <c r="AC34" t="str">
        <f>_xlfn.TEXTJOIN(",",,"INSERT INTO assetList VALUES (",A34,B34,C34,F34,E34,G34,H34,I34,J34,K34,L34,N34,P34,Q34,R34,S34,T34,U34,V34,W34,X34,Y34,Z34,AA34,AB34,")")</f>
        <v>INSERT INTO assetList VALUES (,100001.2,Hotel,Hotel Altstadt,8.54411,47.36936,3*,Kirchgasse,4,8001,Zürich,Switzerland,"SingelBusiness",2021-06-10 13:00:00.000000,2021-06-11 12:00:00.000000,25,true,10,true,10,true,5,false,10,false,10,)</v>
      </c>
    </row>
    <row r="35" spans="1:39" ht="17" hidden="1" customHeight="1" x14ac:dyDescent="0.2">
      <c r="A35" s="3" t="s">
        <v>193</v>
      </c>
      <c r="B35" s="3" t="s">
        <v>27</v>
      </c>
      <c r="C35" s="3" t="s">
        <v>28</v>
      </c>
      <c r="D35" s="5">
        <v>1.1403721388618027</v>
      </c>
      <c r="E35" s="3" t="s">
        <v>30</v>
      </c>
      <c r="F35" s="3" t="s">
        <v>29</v>
      </c>
      <c r="G35" s="3" t="s">
        <v>31</v>
      </c>
      <c r="H35" s="3" t="s">
        <v>32</v>
      </c>
      <c r="I35" s="3">
        <v>4</v>
      </c>
      <c r="J35" s="3">
        <v>8001</v>
      </c>
      <c r="K35" s="3" t="s">
        <v>33</v>
      </c>
      <c r="L35" s="3" t="s">
        <v>34</v>
      </c>
      <c r="M35" s="3"/>
      <c r="N35" s="3" t="s">
        <v>161</v>
      </c>
      <c r="O35" s="3" t="s">
        <v>36</v>
      </c>
      <c r="P35" s="3" t="s">
        <v>183</v>
      </c>
      <c r="Q35" s="3" t="s">
        <v>189</v>
      </c>
      <c r="R35" s="4">
        <v>30</v>
      </c>
      <c r="S35" s="3" t="s">
        <v>36</v>
      </c>
      <c r="T35" s="4">
        <v>10</v>
      </c>
      <c r="U35" s="3" t="s">
        <v>36</v>
      </c>
      <c r="V35" s="4">
        <v>10</v>
      </c>
      <c r="W35" s="3" t="s">
        <v>36</v>
      </c>
      <c r="X35" s="4">
        <v>5</v>
      </c>
      <c r="Y35" s="3" t="s">
        <v>37</v>
      </c>
      <c r="Z35" s="4">
        <v>10</v>
      </c>
      <c r="AA35" s="3" t="s">
        <v>37</v>
      </c>
      <c r="AB35" s="4">
        <v>10</v>
      </c>
      <c r="AC35" t="str">
        <f>_xlfn.TEXTJOIN(",",,"INSERT INTO assetList VALUES (",A35,B35,C35,F35,E35,G35,H35,I35,J35,K35,L35,N35,P35,Q35,R35,S35,T35,U35,V35,W35,X35,Y35,Z35,AA35,AB35,")")</f>
        <v>INSERT INTO assetList VALUES (,100001.3,Hotel,Hotel Altstadt,8.54411,47.36936,3*,Kirchgasse,4,8001,Zürich,Switzerland,JuniorSuite,2021-06-10 13:00:00.000000,2021-06-11 12:00:00.000000,30,true,10,true,10,true,5,false,10,false,10,)</v>
      </c>
    </row>
    <row r="36" spans="1:39" ht="17" hidden="1" customHeight="1" x14ac:dyDescent="0.2">
      <c r="A36" s="3">
        <v>100030</v>
      </c>
      <c r="B36" s="3" t="s">
        <v>27</v>
      </c>
      <c r="C36" s="3" t="s">
        <v>147</v>
      </c>
      <c r="D36" s="5">
        <v>1.1463397095242709</v>
      </c>
      <c r="E36" s="3" t="s">
        <v>149</v>
      </c>
      <c r="F36" s="3" t="s">
        <v>148</v>
      </c>
      <c r="G36" s="3" t="s">
        <v>124</v>
      </c>
      <c r="H36" s="3" t="s">
        <v>102</v>
      </c>
      <c r="I36" s="3">
        <v>30</v>
      </c>
      <c r="J36" s="3">
        <v>8001</v>
      </c>
      <c r="K36" s="3" t="s">
        <v>33</v>
      </c>
      <c r="L36" s="3" t="s">
        <v>34</v>
      </c>
      <c r="M36" s="3"/>
      <c r="N36" s="3" t="s">
        <v>103</v>
      </c>
      <c r="O36" s="3" t="s">
        <v>36</v>
      </c>
      <c r="P36" s="3" t="s">
        <v>188</v>
      </c>
      <c r="Q36" s="3" t="s">
        <v>190</v>
      </c>
      <c r="R36" s="4">
        <v>36</v>
      </c>
      <c r="S36" s="3" t="s">
        <v>36</v>
      </c>
      <c r="T36" s="4">
        <v>15</v>
      </c>
      <c r="U36" s="3" t="s">
        <v>36</v>
      </c>
      <c r="V36" s="4">
        <v>15</v>
      </c>
      <c r="W36" s="3" t="s">
        <v>37</v>
      </c>
      <c r="X36" s="4">
        <v>8</v>
      </c>
      <c r="Y36" s="3" t="s">
        <v>36</v>
      </c>
      <c r="Z36" s="4">
        <v>10</v>
      </c>
      <c r="AA36" s="3" t="s">
        <v>36</v>
      </c>
      <c r="AB36" s="4">
        <v>10</v>
      </c>
      <c r="AC36" t="str">
        <f>_xlfn.TEXTJOIN(",",,"INSERT INTO assetList VALUES (",A36,B36,C36,F36,E36,G36,H36,I36,J36,K36,L36,N36,P36,Q36,R36,S36,T36,U36,V36,W36,X36,Y36,Z36,AA36,AB36,")")</f>
        <v>INSERT INTO assetList VALUES (,100030,Hotel,Hotel Helmhaus,8.54406,47.36914,4*,Schifflände,30,8001,Zürich,Switzerland,DoubleBusiness,2021-06-10 16:00:00.000000,2021-08-19 15:00:00.000000,36,true,15,true,15,false,8,true,10,true,10,)</v>
      </c>
    </row>
    <row r="37" spans="1:39" ht="17" hidden="1" customHeight="1" x14ac:dyDescent="0.2">
      <c r="A37" s="3">
        <v>100013</v>
      </c>
      <c r="B37" s="3" t="s">
        <v>27</v>
      </c>
      <c r="C37" s="3" t="s">
        <v>80</v>
      </c>
      <c r="D37" s="5">
        <v>1.1677251955643566</v>
      </c>
      <c r="E37" s="3" t="s">
        <v>82</v>
      </c>
      <c r="F37" s="3" t="s">
        <v>81</v>
      </c>
      <c r="G37" s="3" t="s">
        <v>31</v>
      </c>
      <c r="H37" s="3" t="s">
        <v>83</v>
      </c>
      <c r="I37" s="3">
        <v>7</v>
      </c>
      <c r="J37" s="3">
        <v>8001</v>
      </c>
      <c r="K37" s="3" t="s">
        <v>33</v>
      </c>
      <c r="L37" s="3" t="s">
        <v>34</v>
      </c>
      <c r="M37" s="3"/>
      <c r="N37" s="3" t="s">
        <v>53</v>
      </c>
      <c r="O37" s="3" t="s">
        <v>36</v>
      </c>
      <c r="P37" s="3" t="s">
        <v>185</v>
      </c>
      <c r="Q37" s="3" t="s">
        <v>189</v>
      </c>
      <c r="R37" s="4">
        <v>25</v>
      </c>
      <c r="S37" s="3" t="s">
        <v>36</v>
      </c>
      <c r="T37" s="4">
        <v>10</v>
      </c>
      <c r="U37" s="3" t="s">
        <v>36</v>
      </c>
      <c r="V37" s="4">
        <v>10</v>
      </c>
      <c r="W37" s="3" t="s">
        <v>37</v>
      </c>
      <c r="X37" s="4">
        <v>5</v>
      </c>
      <c r="Y37" s="3" t="s">
        <v>37</v>
      </c>
      <c r="Z37" s="4">
        <v>10</v>
      </c>
      <c r="AA37" s="3" t="s">
        <v>37</v>
      </c>
      <c r="AB37" s="4">
        <v>10</v>
      </c>
      <c r="AC37" t="str">
        <f>_xlfn.TEXTJOIN(",",,"INSERT INTO assetList VALUES (",A37,B37,C37,F37,E37,G37,H37,I37,J37,K37,L37,N37,P37,Q37,R37,S37,T37,U37,V37,W37,X37,Y37,Z37,AA37,AB37,")")</f>
        <v>INSERT INTO assetList VALUES (,100013,Hotel,Hotel Rösli,8.54443,47.36924,3*,Rösligasse,7,8001,Zürich,Switzerland,DoubleStandard,2021-06-10 14:00:00.000000,2021-06-11 12:00:00.000000,25,true,10,true,10,false,5,false,10,false,10,)</v>
      </c>
    </row>
    <row r="38" spans="1:39" ht="17" customHeight="1" x14ac:dyDescent="0.2">
      <c r="A38" s="3">
        <v>100018</v>
      </c>
      <c r="B38" s="3" t="s">
        <v>27</v>
      </c>
      <c r="C38" s="3" t="s">
        <v>99</v>
      </c>
      <c r="D38" s="5">
        <v>1.2024634840939774</v>
      </c>
      <c r="E38" s="3" t="s">
        <v>101</v>
      </c>
      <c r="F38" s="3" t="s">
        <v>100</v>
      </c>
      <c r="G38" s="3" t="s">
        <v>31</v>
      </c>
      <c r="H38" s="3" t="s">
        <v>102</v>
      </c>
      <c r="I38" s="3">
        <v>18</v>
      </c>
      <c r="J38" s="3">
        <v>8001</v>
      </c>
      <c r="K38" s="3" t="s">
        <v>33</v>
      </c>
      <c r="L38" s="3" t="s">
        <v>34</v>
      </c>
      <c r="M38" s="3"/>
      <c r="N38" s="3" t="s">
        <v>103</v>
      </c>
      <c r="O38" s="3" t="s">
        <v>36</v>
      </c>
      <c r="P38" s="3" t="s">
        <v>272</v>
      </c>
      <c r="Q38" s="3" t="s">
        <v>273</v>
      </c>
      <c r="R38" s="4">
        <v>27</v>
      </c>
      <c r="S38" s="3" t="s">
        <v>36</v>
      </c>
      <c r="T38" s="4">
        <v>10</v>
      </c>
      <c r="U38" s="3" t="s">
        <v>36</v>
      </c>
      <c r="V38" s="4">
        <v>10</v>
      </c>
      <c r="W38" s="3" t="s">
        <v>36</v>
      </c>
      <c r="X38" s="4">
        <v>5</v>
      </c>
      <c r="Y38" s="3" t="s">
        <v>37</v>
      </c>
      <c r="Z38" s="4">
        <v>10</v>
      </c>
      <c r="AA38" s="3" t="s">
        <v>37</v>
      </c>
      <c r="AB38" s="4">
        <v>10</v>
      </c>
      <c r="AC38" t="str">
        <f>_xlfn.TEXTJOIN(",",,"INSERT INTO assetList VALUES (",A38,B38,C38,F38,E38,G38,H38,I38,J38,K38,L38,N38,P38,Q38,R38,S38,T38,U38,V38,W38,X38,Y38,Z38,AA38,AB38,")")</f>
        <v>INSERT INTO assetList VALUES (,100018,Hotel,Hotel California,8.5446,47.36872,3*,Schifflände,18,8001,Zürich,Switzerland,DoubleBusiness,2021-06-11 14:00:00.000000,2021-06-12 17:00:00.000000,27,true,10,true,10,true,5,false,10,false,10,)</v>
      </c>
    </row>
    <row r="39" spans="1:39" ht="17" customHeight="1" x14ac:dyDescent="0.2">
      <c r="A39" s="3">
        <v>100021</v>
      </c>
      <c r="B39" s="3" t="s">
        <v>27</v>
      </c>
      <c r="C39" s="3" t="s">
        <v>111</v>
      </c>
      <c r="D39" s="5">
        <v>1.2071255429827186</v>
      </c>
      <c r="E39" s="3" t="s">
        <v>113</v>
      </c>
      <c r="F39" s="3" t="s">
        <v>112</v>
      </c>
      <c r="G39" s="3" t="s">
        <v>31</v>
      </c>
      <c r="H39" s="3" t="s">
        <v>114</v>
      </c>
      <c r="I39" s="3">
        <v>64</v>
      </c>
      <c r="J39" s="3">
        <v>8001</v>
      </c>
      <c r="K39" s="3" t="s">
        <v>33</v>
      </c>
      <c r="L39" s="3" t="s">
        <v>34</v>
      </c>
      <c r="M39" s="3"/>
      <c r="N39" s="3" t="s">
        <v>103</v>
      </c>
      <c r="O39" s="3" t="s">
        <v>36</v>
      </c>
      <c r="P39" s="3" t="s">
        <v>272</v>
      </c>
      <c r="Q39" s="3" t="s">
        <v>273</v>
      </c>
      <c r="R39" s="4">
        <v>27</v>
      </c>
      <c r="S39" s="3" t="s">
        <v>36</v>
      </c>
      <c r="T39" s="4">
        <v>10</v>
      </c>
      <c r="U39" s="3" t="s">
        <v>36</v>
      </c>
      <c r="V39" s="4">
        <v>10</v>
      </c>
      <c r="W39" s="3" t="s">
        <v>36</v>
      </c>
      <c r="X39" s="4">
        <v>5</v>
      </c>
      <c r="Y39" s="3" t="s">
        <v>37</v>
      </c>
      <c r="Z39" s="4">
        <v>10</v>
      </c>
      <c r="AA39" s="3" t="s">
        <v>37</v>
      </c>
      <c r="AB39" s="4">
        <v>10</v>
      </c>
      <c r="AC39" t="str">
        <f>_xlfn.TEXTJOIN(",",,"INSERT INTO assetList VALUES (",A39,B39,C39,F39,E39,G39,H39,I39,J39,K39,L39,N39,P39,Q39,R39,S39,T39,U39,V39,W39,X39,Y39,Z39,AA39,AB39,")")</f>
        <v>INSERT INTO assetList VALUES (,100021,Hotel,Hotel St. Josef,8.5458,47.37534,3*,Hirschengraben,64,8001,Zürich,Switzerland,DoubleBusiness,2021-06-11 14:00:00.000000,2021-06-12 17:00:00.000000,27,true,10,true,10,true,5,false,10,false,10,)</v>
      </c>
    </row>
    <row r="40" spans="1:39" ht="17" customHeight="1" x14ac:dyDescent="0.2">
      <c r="A40" s="3">
        <v>100019</v>
      </c>
      <c r="B40" s="3" t="s">
        <v>27</v>
      </c>
      <c r="C40" s="3" t="s">
        <v>104</v>
      </c>
      <c r="D40" s="5">
        <v>1.2387743540946647</v>
      </c>
      <c r="E40" s="3" t="s">
        <v>106</v>
      </c>
      <c r="F40" s="3" t="s">
        <v>105</v>
      </c>
      <c r="G40" s="3" t="s">
        <v>31</v>
      </c>
      <c r="H40" s="3" t="s">
        <v>107</v>
      </c>
      <c r="I40" s="3">
        <v>34</v>
      </c>
      <c r="J40" s="3">
        <v>8006</v>
      </c>
      <c r="K40" s="3" t="s">
        <v>33</v>
      </c>
      <c r="L40" s="3" t="s">
        <v>34</v>
      </c>
      <c r="M40" s="3"/>
      <c r="N40" s="3" t="s">
        <v>103</v>
      </c>
      <c r="O40" s="3" t="s">
        <v>36</v>
      </c>
      <c r="P40" s="3" t="s">
        <v>272</v>
      </c>
      <c r="Q40" s="3" t="s">
        <v>273</v>
      </c>
      <c r="R40" s="4">
        <v>27</v>
      </c>
      <c r="S40" s="3" t="s">
        <v>36</v>
      </c>
      <c r="T40" s="4">
        <v>10</v>
      </c>
      <c r="U40" s="3" t="s">
        <v>36</v>
      </c>
      <c r="V40" s="4">
        <v>10</v>
      </c>
      <c r="W40" s="3" t="s">
        <v>36</v>
      </c>
      <c r="X40" s="4">
        <v>5</v>
      </c>
      <c r="Y40" s="3" t="s">
        <v>37</v>
      </c>
      <c r="Z40" s="4">
        <v>10</v>
      </c>
      <c r="AA40" s="3" t="s">
        <v>37</v>
      </c>
      <c r="AB40" s="4">
        <v>10</v>
      </c>
      <c r="AC40" t="str">
        <f>_xlfn.TEXTJOIN(",",,"INSERT INTO assetList VALUES (",A40,B40,C40,F40,E40,G40,H40,I40,J40,K40,L40,N40,P40,Q40,R40,S40,T40,U40,V40,W40,X40,Y40,Z40,AA40,AB40,")")</f>
        <v>INSERT INTO assetList VALUES (,100019,Hotel,Hotel Garni Bristol ,8.54349,47.37967,3*,Stampfenbachstrasse,34,8006,Zürich,Switzerland,DoubleBusiness,2021-06-11 14:00:00.000000,2021-06-12 17:00:00.000000,27,true,10,true,10,true,5,false,10,false,10,)</v>
      </c>
    </row>
    <row r="41" spans="1:39" ht="17" hidden="1" customHeight="1" x14ac:dyDescent="0.2">
      <c r="A41" s="3">
        <v>100008</v>
      </c>
      <c r="B41" s="3" t="s">
        <v>27</v>
      </c>
      <c r="C41" s="3" t="s">
        <v>62</v>
      </c>
      <c r="D41" s="5">
        <v>1.2947285714457459</v>
      </c>
      <c r="E41" s="3" t="s">
        <v>64</v>
      </c>
      <c r="F41" s="3" t="s">
        <v>63</v>
      </c>
      <c r="G41" s="3" t="s">
        <v>31</v>
      </c>
      <c r="H41" s="3" t="s">
        <v>65</v>
      </c>
      <c r="I41" s="3">
        <v>6</v>
      </c>
      <c r="J41" s="3">
        <v>8001</v>
      </c>
      <c r="K41" s="3" t="s">
        <v>33</v>
      </c>
      <c r="L41" s="3" t="s">
        <v>34</v>
      </c>
      <c r="M41" s="3"/>
      <c r="N41" s="3" t="s">
        <v>53</v>
      </c>
      <c r="O41" s="3" t="s">
        <v>36</v>
      </c>
      <c r="P41" s="3" t="s">
        <v>184</v>
      </c>
      <c r="Q41" s="3" t="s">
        <v>189</v>
      </c>
      <c r="R41" s="4">
        <v>23</v>
      </c>
      <c r="S41" s="3" t="s">
        <v>36</v>
      </c>
      <c r="T41" s="4">
        <v>10</v>
      </c>
      <c r="U41" s="3" t="s">
        <v>36</v>
      </c>
      <c r="V41" s="4">
        <v>10</v>
      </c>
      <c r="W41" s="3" t="s">
        <v>37</v>
      </c>
      <c r="X41" s="4">
        <v>5</v>
      </c>
      <c r="Y41" s="3" t="s">
        <v>37</v>
      </c>
      <c r="Z41" s="4">
        <v>10</v>
      </c>
      <c r="AA41" s="3" t="s">
        <v>36</v>
      </c>
      <c r="AB41" s="4">
        <v>10</v>
      </c>
      <c r="AC41" t="str">
        <f>_xlfn.TEXTJOIN(",",,"INSERT INTO assetList VALUES (",A41,B41,C41,F41,E41,G41,H41,I41,J41,K41,L41,N41,P41,Q41,R41,S41,T41,U41,V41,W41,X41,Y41,Z41,AA41,AB41,")")</f>
        <v>INSERT INTO assetList VALUES (,100008,Hotel,Hotel Royal Zürich,8.54502,47.37898,3*,Leonhardstrasse,6,8001,Zürich,Switzerland,DoubleStandard,2021-06-10 13:30:00.000000,2021-06-11 12:00:00.000000,23,true,10,true,10,false,5,false,10,true,10,)</v>
      </c>
    </row>
    <row r="42" spans="1:39" ht="17" hidden="1" customHeight="1" x14ac:dyDescent="0.2">
      <c r="A42" s="3">
        <v>100034</v>
      </c>
      <c r="B42" s="3" t="s">
        <v>27</v>
      </c>
      <c r="C42" s="3" t="s">
        <v>162</v>
      </c>
      <c r="D42" s="5">
        <v>1.3074161593471236</v>
      </c>
      <c r="E42" s="3" t="s">
        <v>163</v>
      </c>
      <c r="F42" s="3" t="s">
        <v>127</v>
      </c>
      <c r="G42" s="3" t="s">
        <v>118</v>
      </c>
      <c r="H42" s="3" t="s">
        <v>164</v>
      </c>
      <c r="I42" s="3">
        <v>42</v>
      </c>
      <c r="J42" s="3">
        <v>8006</v>
      </c>
      <c r="K42" s="3" t="s">
        <v>33</v>
      </c>
      <c r="L42" s="3" t="s">
        <v>34</v>
      </c>
      <c r="M42" s="3"/>
      <c r="N42" s="3" t="s">
        <v>161</v>
      </c>
      <c r="O42" s="3" t="s">
        <v>36</v>
      </c>
      <c r="P42" s="3" t="s">
        <v>188</v>
      </c>
      <c r="Q42" s="3" t="s">
        <v>190</v>
      </c>
      <c r="R42" s="4">
        <v>40</v>
      </c>
      <c r="S42" s="3" t="s">
        <v>36</v>
      </c>
      <c r="T42" s="4">
        <v>15</v>
      </c>
      <c r="U42" s="3" t="s">
        <v>36</v>
      </c>
      <c r="V42" s="4">
        <v>15</v>
      </c>
      <c r="W42" s="3" t="s">
        <v>36</v>
      </c>
      <c r="X42" s="4">
        <v>8</v>
      </c>
      <c r="Y42" s="3" t="s">
        <v>36</v>
      </c>
      <c r="Z42" s="4">
        <v>10</v>
      </c>
      <c r="AA42" s="3" t="s">
        <v>36</v>
      </c>
      <c r="AB42" s="4">
        <v>10</v>
      </c>
      <c r="AC42" t="str">
        <f>_xlfn.TEXTJOIN(",",,"INSERT INTO assetList VALUES (",A42,B42,C42,F42,E42,G42,H42,I42,J42,K42,L42,N42,P42,Q42,R42,S42,T42,U42,V42,W42,X42,Y42,Z42,AA42,AB42,")")</f>
        <v>INSERT INTO assetList VALUES (,100034,Hotel,Hotel Marriott Zürich,8.54066,47.38254,5*,Neumühlequai,42,8006,Zürich,Switzerland,JuniorSuite,2021-06-10 16:00:00.000000,2021-08-19 15:00:00.000000,40,true,15,true,15,true,8,true,10,true,10,)</v>
      </c>
    </row>
    <row r="43" spans="1:39" ht="17" hidden="1" customHeight="1" x14ac:dyDescent="0.2">
      <c r="A43" s="3">
        <v>100011</v>
      </c>
      <c r="B43" s="3" t="s">
        <v>27</v>
      </c>
      <c r="C43" s="3" t="s">
        <v>73</v>
      </c>
      <c r="D43" s="5">
        <v>1.3136685097146446</v>
      </c>
      <c r="E43" s="3" t="s">
        <v>75</v>
      </c>
      <c r="F43" s="3" t="s">
        <v>74</v>
      </c>
      <c r="G43" s="3" t="s">
        <v>31</v>
      </c>
      <c r="H43" s="3" t="s">
        <v>65</v>
      </c>
      <c r="I43" s="3">
        <v>1</v>
      </c>
      <c r="J43" s="3">
        <v>8001</v>
      </c>
      <c r="K43" s="3" t="s">
        <v>33</v>
      </c>
      <c r="L43" s="3" t="s">
        <v>34</v>
      </c>
      <c r="M43" s="3"/>
      <c r="N43" s="3" t="s">
        <v>53</v>
      </c>
      <c r="O43" s="3" t="s">
        <v>36</v>
      </c>
      <c r="P43" s="3" t="s">
        <v>184</v>
      </c>
      <c r="Q43" s="3" t="s">
        <v>189</v>
      </c>
      <c r="R43" s="4">
        <v>25</v>
      </c>
      <c r="S43" s="3" t="s">
        <v>36</v>
      </c>
      <c r="T43" s="4">
        <v>10</v>
      </c>
      <c r="U43" s="3" t="s">
        <v>36</v>
      </c>
      <c r="V43" s="4">
        <v>10</v>
      </c>
      <c r="W43" s="3" t="s">
        <v>37</v>
      </c>
      <c r="X43" s="4">
        <v>5</v>
      </c>
      <c r="Y43" s="3" t="s">
        <v>37</v>
      </c>
      <c r="Z43" s="4">
        <v>10</v>
      </c>
      <c r="AA43" s="3" t="s">
        <v>36</v>
      </c>
      <c r="AB43" s="4">
        <v>10</v>
      </c>
      <c r="AC43" t="str">
        <f>_xlfn.TEXTJOIN(",",,"INSERT INTO assetList VALUES (",A43,B43,C43,F43,E43,G43,H43,I43,J43,K43,L43,N43,P43,Q43,R43,S43,T43,U43,V43,W43,X43,Y43,Z43,AA43,AB43,")")</f>
        <v>INSERT INTO assetList VALUES (,100011,Hotel,Hotel Leoneck Swiss Hotel,8.54514,47.37918,3*,Leonhardstrasse,1,8001,Zürich,Switzerland,DoubleStandard,2021-06-10 13:30:00.000000,2021-06-11 12:00:00.000000,25,true,10,true,10,false,5,false,10,true,10,)</v>
      </c>
    </row>
    <row r="44" spans="1:39" ht="17" hidden="1" customHeight="1" x14ac:dyDescent="0.2">
      <c r="A44" s="3">
        <v>100006</v>
      </c>
      <c r="B44" s="3" t="s">
        <v>27</v>
      </c>
      <c r="C44" s="3" t="s">
        <v>54</v>
      </c>
      <c r="D44" s="5">
        <v>1.3482607358043288</v>
      </c>
      <c r="E44" s="3" t="s">
        <v>56</v>
      </c>
      <c r="F44" s="3" t="s">
        <v>55</v>
      </c>
      <c r="G44" s="3" t="s">
        <v>31</v>
      </c>
      <c r="H44" s="3" t="s">
        <v>57</v>
      </c>
      <c r="I44" s="3">
        <v>4</v>
      </c>
      <c r="J44" s="3">
        <v>8001</v>
      </c>
      <c r="K44" s="3" t="s">
        <v>33</v>
      </c>
      <c r="L44" s="3" t="s">
        <v>34</v>
      </c>
      <c r="M44" s="3"/>
      <c r="N44" s="3" t="s">
        <v>53</v>
      </c>
      <c r="O44" s="3" t="s">
        <v>36</v>
      </c>
      <c r="P44" s="3" t="s">
        <v>184</v>
      </c>
      <c r="Q44" s="3" t="s">
        <v>189</v>
      </c>
      <c r="R44" s="4">
        <v>23</v>
      </c>
      <c r="S44" s="3" t="s">
        <v>36</v>
      </c>
      <c r="T44" s="4">
        <v>10</v>
      </c>
      <c r="U44" s="3" t="s">
        <v>36</v>
      </c>
      <c r="V44" s="4">
        <v>10</v>
      </c>
      <c r="W44" s="3" t="s">
        <v>36</v>
      </c>
      <c r="X44" s="4">
        <v>5</v>
      </c>
      <c r="Y44" s="3" t="s">
        <v>37</v>
      </c>
      <c r="Z44" s="4">
        <v>10</v>
      </c>
      <c r="AA44" s="3" t="s">
        <v>37</v>
      </c>
      <c r="AB44" s="4">
        <v>10</v>
      </c>
      <c r="AC44" t="str">
        <f>_xlfn.TEXTJOIN(",",,"INSERT INTO assetList VALUES (",A44,B44,C44,F44,E44,G44,H44,I44,J44,K44,L44,N44,P44,Q44,R44,S44,T44,U44,V44,W44,X44,Y44,Z44,AA44,AB44,")")</f>
        <v>INSERT INTO assetList VALUES (,100006,Hotel,Hotel Florhof,8.54795,47.37248,3*,Florhofgasse,4,8001,Zürich,Switzerland,DoubleStandard,2021-06-10 13:30:00.000000,2021-06-11 12:00:00.000000,23,true,10,true,10,true,5,false,10,false,10,)</v>
      </c>
    </row>
    <row r="45" spans="1:39" ht="17" hidden="1" customHeight="1" x14ac:dyDescent="0.2">
      <c r="A45" s="3" t="s">
        <v>195</v>
      </c>
      <c r="B45" s="3" t="s">
        <v>27</v>
      </c>
      <c r="C45" s="3" t="s">
        <v>42</v>
      </c>
      <c r="D45" s="5">
        <v>1.731714056929448</v>
      </c>
      <c r="E45" s="3" t="s">
        <v>44</v>
      </c>
      <c r="F45" s="3" t="s">
        <v>43</v>
      </c>
      <c r="G45" s="3" t="s">
        <v>31</v>
      </c>
      <c r="H45" s="3" t="s">
        <v>45</v>
      </c>
      <c r="I45" s="3">
        <v>26</v>
      </c>
      <c r="J45" s="3">
        <v>8032</v>
      </c>
      <c r="K45" s="3" t="s">
        <v>33</v>
      </c>
      <c r="L45" s="3" t="s">
        <v>34</v>
      </c>
      <c r="M45" s="3"/>
      <c r="N45" s="3" t="s">
        <v>161</v>
      </c>
      <c r="O45" s="3" t="s">
        <v>36</v>
      </c>
      <c r="P45" s="3" t="s">
        <v>183</v>
      </c>
      <c r="Q45" s="3" t="s">
        <v>189</v>
      </c>
      <c r="R45" s="4">
        <v>29</v>
      </c>
      <c r="S45" s="3" t="s">
        <v>36</v>
      </c>
      <c r="T45" s="4">
        <v>10</v>
      </c>
      <c r="U45" s="3" t="s">
        <v>36</v>
      </c>
      <c r="V45" s="4">
        <v>10</v>
      </c>
      <c r="W45" s="3" t="s">
        <v>37</v>
      </c>
      <c r="X45" s="4">
        <v>5</v>
      </c>
      <c r="Y45" s="3" t="s">
        <v>36</v>
      </c>
      <c r="Z45" s="4">
        <v>10</v>
      </c>
      <c r="AA45" s="3" t="s">
        <v>37</v>
      </c>
      <c r="AB45" s="4">
        <v>10</v>
      </c>
      <c r="AC45" t="str">
        <f>_xlfn.TEXTJOIN(",",,"INSERT INTO assetList VALUES (",A45,B45,C45,F45,E45,G45,H45,I45,J45,K45,L45,N45,P45,Q45,R45,S45,T45,U45,V45,W45,X45,Y45,Z45,AA45,AB45,")")</f>
        <v>INSERT INTO assetList VALUES (,100003.1,Hotel,Hotel Plattenhof,8.55302,47.3743,3*,Plattenstrasse,26,8032,Zürich,Switzerland,JuniorSuite,2021-06-10 13:00:00.000000,2021-06-11 12:00:00.000000,29,true,10,true,10,false,5,true,10,false,10,)</v>
      </c>
    </row>
    <row r="46" spans="1:39" ht="17" hidden="1" customHeight="1" x14ac:dyDescent="0.2">
      <c r="A46" s="3" t="s">
        <v>200</v>
      </c>
      <c r="B46" s="3" t="s">
        <v>27</v>
      </c>
      <c r="C46" s="3" t="s">
        <v>42</v>
      </c>
      <c r="D46" s="5">
        <v>1.731714056929448</v>
      </c>
      <c r="E46" s="3" t="s">
        <v>44</v>
      </c>
      <c r="F46" s="3" t="s">
        <v>43</v>
      </c>
      <c r="G46" s="3" t="s">
        <v>31</v>
      </c>
      <c r="H46" s="3" t="s">
        <v>45</v>
      </c>
      <c r="I46" s="3">
        <v>26</v>
      </c>
      <c r="J46" s="3">
        <v>8032</v>
      </c>
      <c r="K46" s="3" t="s">
        <v>33</v>
      </c>
      <c r="L46" s="3" t="s">
        <v>34</v>
      </c>
      <c r="M46" s="3"/>
      <c r="N46" s="3" t="s">
        <v>174</v>
      </c>
      <c r="O46" s="3" t="s">
        <v>36</v>
      </c>
      <c r="P46" s="3" t="s">
        <v>183</v>
      </c>
      <c r="Q46" s="3" t="s">
        <v>189</v>
      </c>
      <c r="R46" s="4">
        <v>20</v>
      </c>
      <c r="S46" s="3" t="s">
        <v>36</v>
      </c>
      <c r="T46" s="4">
        <v>10</v>
      </c>
      <c r="U46" s="3" t="s">
        <v>36</v>
      </c>
      <c r="V46" s="4">
        <v>10</v>
      </c>
      <c r="W46" s="3" t="s">
        <v>37</v>
      </c>
      <c r="X46" s="4">
        <v>5</v>
      </c>
      <c r="Y46" s="3" t="s">
        <v>36</v>
      </c>
      <c r="Z46" s="4">
        <v>10</v>
      </c>
      <c r="AA46" s="3" t="s">
        <v>36</v>
      </c>
      <c r="AB46" s="4">
        <v>10</v>
      </c>
      <c r="AC46" t="str">
        <f>_xlfn.TEXTJOIN(",",,"INSERT INTO assetList VALUES (",A46,B46,C46,F46,E46,G46,H46,I46,J46,K46,L46,N46,P46,Q46,R46,S46,T46,U46,V46,W46,X46,Y46,Z46,AA46,AB46,")")</f>
        <v>INSERT INTO assetList VALUES (,100003.2,Hotel,Hotel Plattenhof,8.55302,47.3743,3*,Plattenstrasse,26,8032,Zürich,Switzerland,"SingelBusiness",2021-06-10 13:00:00.000000,2021-06-11 12:00:00.000000,20,true,10,true,10,false,5,true,10,true,10,)</v>
      </c>
    </row>
    <row r="47" spans="1:39" ht="17" hidden="1" customHeight="1" x14ac:dyDescent="0.2">
      <c r="A47" s="3" t="s">
        <v>203</v>
      </c>
      <c r="B47" s="3" t="s">
        <v>27</v>
      </c>
      <c r="C47" s="3" t="s">
        <v>202</v>
      </c>
      <c r="D47" s="5">
        <v>63.684686072366716</v>
      </c>
      <c r="E47" s="3">
        <v>47.421420500000004</v>
      </c>
      <c r="F47" s="3">
        <v>9.3731755999999997</v>
      </c>
      <c r="G47" s="3" t="s">
        <v>124</v>
      </c>
      <c r="H47" s="3" t="s">
        <v>204</v>
      </c>
      <c r="I47" s="3">
        <v>2</v>
      </c>
      <c r="J47" s="3">
        <v>9000</v>
      </c>
      <c r="K47" s="3" t="s">
        <v>205</v>
      </c>
      <c r="L47" s="3" t="s">
        <v>34</v>
      </c>
      <c r="N47" s="3" t="s">
        <v>161</v>
      </c>
      <c r="O47" s="3" t="s">
        <v>36</v>
      </c>
      <c r="P47" s="3" t="s">
        <v>188</v>
      </c>
      <c r="Q47" s="3" t="s">
        <v>190</v>
      </c>
      <c r="R47" s="6">
        <v>50</v>
      </c>
      <c r="S47" s="7" t="s">
        <v>36</v>
      </c>
      <c r="T47" s="6">
        <v>15</v>
      </c>
      <c r="U47" s="7" t="s">
        <v>36</v>
      </c>
      <c r="V47" s="6">
        <v>15</v>
      </c>
      <c r="W47" s="7" t="s">
        <v>36</v>
      </c>
      <c r="X47" s="6">
        <v>8</v>
      </c>
      <c r="Y47" s="7" t="s">
        <v>36</v>
      </c>
      <c r="Z47" s="6">
        <v>10</v>
      </c>
      <c r="AA47" s="7" t="s">
        <v>36</v>
      </c>
      <c r="AB47" s="6">
        <v>10</v>
      </c>
      <c r="AC47" s="8" t="s">
        <v>206</v>
      </c>
      <c r="AD47" s="8"/>
      <c r="AE47" s="8"/>
      <c r="AF47" s="8"/>
      <c r="AG47" s="8"/>
      <c r="AM47" s="8"/>
    </row>
    <row r="48" spans="1:39" ht="17" hidden="1" customHeight="1" x14ac:dyDescent="0.2">
      <c r="A48" s="3" t="s">
        <v>213</v>
      </c>
      <c r="B48" s="3" t="s">
        <v>27</v>
      </c>
      <c r="C48" s="3" t="s">
        <v>250</v>
      </c>
      <c r="D48" s="5">
        <v>63.894646983796505</v>
      </c>
      <c r="E48" s="3" t="s">
        <v>211</v>
      </c>
      <c r="F48" s="3" t="s">
        <v>214</v>
      </c>
      <c r="G48" s="3" t="s">
        <v>31</v>
      </c>
      <c r="H48" s="3" t="s">
        <v>215</v>
      </c>
      <c r="I48" s="3" t="s">
        <v>216</v>
      </c>
      <c r="J48" s="3">
        <v>9000</v>
      </c>
      <c r="K48" s="3" t="s">
        <v>205</v>
      </c>
      <c r="L48" s="3" t="s">
        <v>34</v>
      </c>
      <c r="N48" s="3" t="s">
        <v>53</v>
      </c>
      <c r="O48" s="3" t="s">
        <v>36</v>
      </c>
      <c r="P48" s="3" t="s">
        <v>188</v>
      </c>
      <c r="Q48" s="3" t="s">
        <v>190</v>
      </c>
      <c r="R48" s="6">
        <v>35</v>
      </c>
      <c r="S48" s="7" t="s">
        <v>36</v>
      </c>
      <c r="T48" s="6">
        <v>10</v>
      </c>
      <c r="U48" s="7" t="s">
        <v>36</v>
      </c>
      <c r="V48" s="6">
        <v>10</v>
      </c>
      <c r="W48" s="7" t="s">
        <v>36</v>
      </c>
      <c r="X48" s="6">
        <v>8</v>
      </c>
      <c r="Y48" s="7" t="s">
        <v>36</v>
      </c>
      <c r="Z48" s="6">
        <v>8</v>
      </c>
      <c r="AA48" s="7" t="s">
        <v>36</v>
      </c>
      <c r="AB48" s="6">
        <v>10</v>
      </c>
      <c r="AC48" s="8" t="s">
        <v>206</v>
      </c>
      <c r="AD48" s="8"/>
      <c r="AE48" s="8"/>
      <c r="AF48" s="8"/>
      <c r="AG48" s="8"/>
      <c r="AM48" s="8"/>
    </row>
    <row r="49" spans="1:47" ht="17" hidden="1" customHeight="1" x14ac:dyDescent="0.2">
      <c r="A49" s="3" t="s">
        <v>208</v>
      </c>
      <c r="B49" s="3" t="s">
        <v>27</v>
      </c>
      <c r="C49" s="3" t="s">
        <v>207</v>
      </c>
      <c r="D49" s="5">
        <v>64.05901704641694</v>
      </c>
      <c r="E49" s="3" t="s">
        <v>211</v>
      </c>
      <c r="F49" s="3" t="s">
        <v>212</v>
      </c>
      <c r="G49" s="3" t="s">
        <v>124</v>
      </c>
      <c r="H49" s="3" t="s">
        <v>209</v>
      </c>
      <c r="I49" s="3" t="s">
        <v>210</v>
      </c>
      <c r="J49" s="3">
        <v>9000</v>
      </c>
      <c r="K49" s="3" t="s">
        <v>205</v>
      </c>
      <c r="L49" s="3" t="s">
        <v>34</v>
      </c>
      <c r="N49" s="3" t="s">
        <v>161</v>
      </c>
      <c r="O49" s="3" t="s">
        <v>36</v>
      </c>
      <c r="P49" s="3" t="s">
        <v>188</v>
      </c>
      <c r="Q49" s="3" t="s">
        <v>190</v>
      </c>
      <c r="R49" s="6">
        <v>50</v>
      </c>
      <c r="S49" s="7" t="s">
        <v>36</v>
      </c>
      <c r="T49" s="6">
        <v>15</v>
      </c>
      <c r="U49" s="7" t="s">
        <v>36</v>
      </c>
      <c r="V49" s="6">
        <v>15</v>
      </c>
      <c r="W49" s="7" t="s">
        <v>36</v>
      </c>
      <c r="X49" s="6">
        <v>8</v>
      </c>
      <c r="Y49" s="7" t="s">
        <v>36</v>
      </c>
      <c r="Z49" s="6">
        <v>10</v>
      </c>
      <c r="AA49" s="7" t="s">
        <v>36</v>
      </c>
      <c r="AB49" s="6">
        <v>8</v>
      </c>
      <c r="AC49" s="8" t="s">
        <v>206</v>
      </c>
      <c r="AD49" s="8"/>
      <c r="AE49" s="8"/>
      <c r="AF49" s="8"/>
      <c r="AG49" s="8"/>
      <c r="AH49" s="8"/>
    </row>
    <row r="50" spans="1:47" ht="17" hidden="1" customHeight="1" x14ac:dyDescent="0.2">
      <c r="A50" s="3" t="s">
        <v>218</v>
      </c>
      <c r="B50" s="3" t="s">
        <v>27</v>
      </c>
      <c r="C50" t="s">
        <v>217</v>
      </c>
      <c r="D50" s="5">
        <v>74.401742021281194</v>
      </c>
      <c r="E50" s="3" t="s">
        <v>219</v>
      </c>
      <c r="F50" s="3" t="s">
        <v>220</v>
      </c>
      <c r="G50" s="3" t="s">
        <v>118</v>
      </c>
      <c r="H50" t="s">
        <v>222</v>
      </c>
      <c r="I50" s="3" t="s">
        <v>120</v>
      </c>
      <c r="J50" s="3" t="s">
        <v>223</v>
      </c>
      <c r="K50" s="3" t="s">
        <v>221</v>
      </c>
      <c r="L50" s="3" t="s">
        <v>34</v>
      </c>
      <c r="N50" s="3" t="s">
        <v>35</v>
      </c>
      <c r="O50" s="3" t="s">
        <v>36</v>
      </c>
      <c r="P50" s="3" t="s">
        <v>188</v>
      </c>
      <c r="Q50" s="3" t="s">
        <v>190</v>
      </c>
      <c r="R50" s="6">
        <v>60</v>
      </c>
      <c r="S50" s="7" t="s">
        <v>36</v>
      </c>
      <c r="T50" s="6">
        <v>20</v>
      </c>
      <c r="U50" s="7" t="s">
        <v>36</v>
      </c>
      <c r="V50" s="6">
        <v>20</v>
      </c>
      <c r="W50" s="7" t="s">
        <v>36</v>
      </c>
      <c r="X50" s="6">
        <v>12</v>
      </c>
      <c r="Y50" s="7" t="s">
        <v>36</v>
      </c>
      <c r="Z50" s="6">
        <v>12</v>
      </c>
      <c r="AA50" s="7" t="s">
        <v>36</v>
      </c>
      <c r="AB50" s="6">
        <v>10</v>
      </c>
      <c r="AC50" s="8" t="s">
        <v>206</v>
      </c>
      <c r="AD50" s="8"/>
      <c r="AE50" s="8"/>
      <c r="AF50" s="8"/>
      <c r="AG50" s="8"/>
      <c r="AH50" s="8"/>
    </row>
    <row r="51" spans="1:47" ht="17" hidden="1" customHeight="1" x14ac:dyDescent="0.2">
      <c r="A51" s="3" t="s">
        <v>237</v>
      </c>
      <c r="B51" s="3" t="s">
        <v>27</v>
      </c>
      <c r="C51" t="s">
        <v>224</v>
      </c>
      <c r="D51" s="5">
        <v>74.401742021281194</v>
      </c>
      <c r="E51" s="3" t="s">
        <v>219</v>
      </c>
      <c r="F51" s="3" t="s">
        <v>220</v>
      </c>
      <c r="G51" s="3" t="s">
        <v>124</v>
      </c>
      <c r="H51" t="s">
        <v>225</v>
      </c>
      <c r="I51" s="3" t="s">
        <v>226</v>
      </c>
      <c r="J51" s="3" t="s">
        <v>223</v>
      </c>
      <c r="K51" s="3" t="s">
        <v>221</v>
      </c>
      <c r="L51" s="3" t="s">
        <v>34</v>
      </c>
      <c r="N51" s="3" t="s">
        <v>35</v>
      </c>
      <c r="O51" s="3" t="s">
        <v>36</v>
      </c>
      <c r="P51" s="3" t="s">
        <v>188</v>
      </c>
      <c r="Q51" s="3" t="s">
        <v>190</v>
      </c>
      <c r="R51" s="6">
        <v>40</v>
      </c>
      <c r="S51" s="7" t="s">
        <v>36</v>
      </c>
      <c r="T51" s="6">
        <v>15</v>
      </c>
      <c r="U51" s="7" t="s">
        <v>36</v>
      </c>
      <c r="V51" s="6">
        <v>10</v>
      </c>
      <c r="W51" s="7" t="s">
        <v>36</v>
      </c>
      <c r="X51" s="6">
        <v>10</v>
      </c>
      <c r="Y51" s="7" t="s">
        <v>36</v>
      </c>
      <c r="Z51" s="6">
        <v>10</v>
      </c>
      <c r="AA51" s="7" t="s">
        <v>36</v>
      </c>
      <c r="AB51" s="6">
        <v>10</v>
      </c>
      <c r="AC51" s="8" t="s">
        <v>206</v>
      </c>
      <c r="AD51" s="8"/>
      <c r="AE51" s="8"/>
      <c r="AF51" s="8"/>
      <c r="AG51" s="8"/>
      <c r="AH51" s="8"/>
    </row>
    <row r="52" spans="1:47" ht="17" hidden="1" customHeight="1" x14ac:dyDescent="0.2">
      <c r="A52" s="3" t="s">
        <v>228</v>
      </c>
      <c r="B52" s="3" t="s">
        <v>27</v>
      </c>
      <c r="C52" t="s">
        <v>227</v>
      </c>
      <c r="D52" s="5">
        <v>94.684567397407392</v>
      </c>
      <c r="E52" s="3" t="s">
        <v>239</v>
      </c>
      <c r="F52" s="3" t="s">
        <v>240</v>
      </c>
      <c r="G52" s="3" t="s">
        <v>118</v>
      </c>
      <c r="H52" t="s">
        <v>230</v>
      </c>
      <c r="I52" s="3" t="s">
        <v>231</v>
      </c>
      <c r="J52" s="3" t="s">
        <v>232</v>
      </c>
      <c r="K52" s="3" t="s">
        <v>229</v>
      </c>
      <c r="L52" s="3" t="s">
        <v>34</v>
      </c>
      <c r="N52" s="3" t="s">
        <v>161</v>
      </c>
      <c r="O52" s="3" t="s">
        <v>36</v>
      </c>
      <c r="P52" s="3" t="s">
        <v>188</v>
      </c>
      <c r="Q52" s="3" t="s">
        <v>190</v>
      </c>
      <c r="R52" s="6">
        <v>60</v>
      </c>
      <c r="S52" s="7" t="s">
        <v>36</v>
      </c>
      <c r="T52" s="6">
        <v>18</v>
      </c>
      <c r="U52" s="7" t="s">
        <v>36</v>
      </c>
      <c r="V52" s="6">
        <v>14</v>
      </c>
      <c r="W52" s="7" t="s">
        <v>36</v>
      </c>
      <c r="X52" s="6">
        <v>12</v>
      </c>
      <c r="Y52" s="7" t="s">
        <v>36</v>
      </c>
      <c r="Z52" s="6">
        <v>12</v>
      </c>
      <c r="AA52" s="7" t="s">
        <v>36</v>
      </c>
      <c r="AB52" s="6">
        <v>15</v>
      </c>
      <c r="AC52" s="8" t="s">
        <v>206</v>
      </c>
      <c r="AD52" s="8"/>
      <c r="AE52" s="8"/>
      <c r="AF52" s="8"/>
      <c r="AG52" s="8"/>
      <c r="AH52" s="8"/>
    </row>
    <row r="53" spans="1:47" ht="17" hidden="1" customHeight="1" x14ac:dyDescent="0.2">
      <c r="A53" s="3" t="s">
        <v>236</v>
      </c>
      <c r="B53" s="3" t="s">
        <v>27</v>
      </c>
      <c r="C53" t="s">
        <v>234</v>
      </c>
      <c r="D53" s="5">
        <v>94.684567397407392</v>
      </c>
      <c r="E53" s="3" t="s">
        <v>239</v>
      </c>
      <c r="F53" s="3" t="s">
        <v>240</v>
      </c>
      <c r="G53" s="3" t="s">
        <v>124</v>
      </c>
      <c r="H53" t="s">
        <v>235</v>
      </c>
      <c r="I53" s="3" t="s">
        <v>231</v>
      </c>
      <c r="J53" s="3" t="s">
        <v>232</v>
      </c>
      <c r="K53" s="3" t="s">
        <v>229</v>
      </c>
      <c r="L53" s="3" t="s">
        <v>34</v>
      </c>
      <c r="N53" s="3" t="s">
        <v>174</v>
      </c>
      <c r="O53" s="3" t="s">
        <v>36</v>
      </c>
      <c r="P53" s="3" t="s">
        <v>188</v>
      </c>
      <c r="Q53" s="3" t="s">
        <v>190</v>
      </c>
      <c r="R53" s="6">
        <v>45</v>
      </c>
      <c r="S53" s="7" t="s">
        <v>36</v>
      </c>
      <c r="T53" s="6">
        <v>12</v>
      </c>
      <c r="U53" s="7" t="s">
        <v>36</v>
      </c>
      <c r="V53" s="6">
        <v>10</v>
      </c>
      <c r="W53" s="7" t="s">
        <v>36</v>
      </c>
      <c r="X53" s="6">
        <v>10</v>
      </c>
      <c r="Y53" s="7" t="s">
        <v>36</v>
      </c>
      <c r="Z53" s="6">
        <v>12</v>
      </c>
      <c r="AA53" s="7" t="s">
        <v>36</v>
      </c>
      <c r="AB53" s="6">
        <v>10</v>
      </c>
      <c r="AC53" s="8" t="s">
        <v>206</v>
      </c>
      <c r="AD53" s="8"/>
      <c r="AE53" s="8"/>
      <c r="AF53" s="8"/>
      <c r="AG53" s="8"/>
      <c r="AH53" s="8"/>
    </row>
    <row r="54" spans="1:47" ht="17" hidden="1" customHeight="1" x14ac:dyDescent="0.2">
      <c r="A54" s="3" t="s">
        <v>236</v>
      </c>
      <c r="B54" s="3" t="s">
        <v>27</v>
      </c>
      <c r="C54" t="s">
        <v>238</v>
      </c>
      <c r="D54" s="5">
        <v>94.684567397407392</v>
      </c>
      <c r="E54" s="3" t="s">
        <v>239</v>
      </c>
      <c r="F54" s="3" t="s">
        <v>240</v>
      </c>
      <c r="G54" s="3" t="s">
        <v>124</v>
      </c>
      <c r="H54" t="s">
        <v>241</v>
      </c>
      <c r="I54" s="3" t="s">
        <v>242</v>
      </c>
      <c r="J54" s="3" t="s">
        <v>232</v>
      </c>
      <c r="K54" s="3" t="s">
        <v>229</v>
      </c>
      <c r="L54" s="3" t="s">
        <v>34</v>
      </c>
      <c r="N54" s="3" t="s">
        <v>174</v>
      </c>
      <c r="O54" s="3" t="s">
        <v>36</v>
      </c>
      <c r="P54" s="3" t="s">
        <v>188</v>
      </c>
      <c r="Q54" s="3" t="s">
        <v>190</v>
      </c>
      <c r="R54" s="6">
        <v>42</v>
      </c>
      <c r="S54" s="7" t="s">
        <v>36</v>
      </c>
      <c r="T54" s="6">
        <v>10</v>
      </c>
      <c r="U54" s="7" t="s">
        <v>36</v>
      </c>
      <c r="V54" s="6">
        <v>10</v>
      </c>
      <c r="W54" s="7" t="s">
        <v>36</v>
      </c>
      <c r="X54" s="6">
        <v>10</v>
      </c>
      <c r="Y54" s="7" t="s">
        <v>36</v>
      </c>
      <c r="Z54" s="6">
        <v>12</v>
      </c>
      <c r="AA54" s="7" t="s">
        <v>36</v>
      </c>
      <c r="AB54" s="6">
        <v>10</v>
      </c>
      <c r="AC54" s="8" t="s">
        <v>206</v>
      </c>
      <c r="AD54" s="8"/>
      <c r="AE54" s="8"/>
      <c r="AF54" s="8"/>
      <c r="AG54" s="8"/>
      <c r="AH54" s="8"/>
    </row>
    <row r="55" spans="1:47" ht="17" hidden="1" customHeight="1" x14ac:dyDescent="0.2">
      <c r="B55" s="2" t="s">
        <v>233</v>
      </c>
      <c r="C55" s="11"/>
      <c r="D55" s="11"/>
      <c r="G55" s="3"/>
    </row>
    <row r="57" spans="1:47" ht="17" customHeight="1" x14ac:dyDescent="0.2">
      <c r="AG57" s="1" t="s">
        <v>251</v>
      </c>
      <c r="AH57" s="1" t="s">
        <v>257</v>
      </c>
      <c r="AI57" s="1" t="s">
        <v>14</v>
      </c>
      <c r="AJ57" s="1" t="s">
        <v>15</v>
      </c>
    </row>
    <row r="58" spans="1:47" ht="17" customHeight="1" x14ac:dyDescent="0.2">
      <c r="AG58" s="3" t="s">
        <v>252</v>
      </c>
      <c r="AH58" s="3" t="s">
        <v>258</v>
      </c>
      <c r="AI58" s="3" t="s">
        <v>185</v>
      </c>
      <c r="AJ58" s="3" t="s">
        <v>188</v>
      </c>
    </row>
    <row r="59" spans="1:47" ht="17" customHeight="1" x14ac:dyDescent="0.2">
      <c r="AG59" s="3" t="s">
        <v>253</v>
      </c>
      <c r="AH59" t="s">
        <v>259</v>
      </c>
      <c r="AI59" s="3" t="s">
        <v>272</v>
      </c>
      <c r="AJ59" s="3" t="s">
        <v>266</v>
      </c>
    </row>
    <row r="60" spans="1:47" ht="17" customHeight="1" x14ac:dyDescent="0.2">
      <c r="AG60" s="3" t="s">
        <v>254</v>
      </c>
      <c r="AH60" t="s">
        <v>260</v>
      </c>
      <c r="AI60" s="3" t="s">
        <v>187</v>
      </c>
      <c r="AJ60" s="3" t="s">
        <v>269</v>
      </c>
    </row>
    <row r="61" spans="1:47" ht="17" customHeight="1" x14ac:dyDescent="0.2">
      <c r="AE61" s="3"/>
      <c r="AG61" s="12" t="s">
        <v>255</v>
      </c>
      <c r="AH61" s="13" t="s">
        <v>261</v>
      </c>
      <c r="AI61" s="12" t="s">
        <v>274</v>
      </c>
      <c r="AJ61" s="12" t="s">
        <v>281</v>
      </c>
      <c r="AK61" s="3"/>
      <c r="AL61" s="3"/>
      <c r="AN61" s="3"/>
      <c r="AQ61" s="3"/>
      <c r="AR61" s="3"/>
      <c r="AS61" s="3"/>
      <c r="AT61" s="3"/>
      <c r="AU61" s="3"/>
    </row>
    <row r="62" spans="1:47" ht="17" customHeight="1" x14ac:dyDescent="0.2">
      <c r="AG62" s="3" t="s">
        <v>256</v>
      </c>
      <c r="AH62" t="s">
        <v>262</v>
      </c>
      <c r="AI62" s="3" t="s">
        <v>268</v>
      </c>
      <c r="AJ62" s="3" t="s">
        <v>184</v>
      </c>
    </row>
  </sheetData>
  <autoFilter ref="A1:AA55" xr:uid="{A21A5BE7-7AB7-E348-8D96-1F0445CCAA25}">
    <filterColumn colId="15">
      <filters>
        <filter val="2021-06-11 14:00:00.000000"/>
      </filters>
    </filterColumn>
    <sortState xmlns:xlrd2="http://schemas.microsoft.com/office/spreadsheetml/2017/richdata2" ref="A2:AA55">
      <sortCondition ref="D1:D55"/>
    </sortState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82F99F-3B31-C548-A667-940A7FEB1248}">
          <x14:formula1>
            <xm:f>'Host Variablen'!$A$2:$A$5</xm:f>
          </x14:formula1>
          <xm:sqref>B2:B46</xm:sqref>
        </x14:dataValidation>
        <x14:dataValidation type="list" allowBlank="1" showInputMessage="1" showErrorMessage="1" xr:uid="{5174EE10-0050-F54A-8864-530395EB468B}">
          <x14:formula1>
            <xm:f>'Host Variablen'!$B$2:$B$3</xm:f>
          </x14:formula1>
          <xm:sqref>O2:O54 Y2:Y46 S2:S46 U2:U46 W2:W46 AA2:AA46</xm:sqref>
        </x14:dataValidation>
        <x14:dataValidation type="list" allowBlank="1" showInputMessage="1" showErrorMessage="1" xr:uid="{8DFAFAE6-E0A6-1744-940C-5E57E5547225}">
          <x14:formula1>
            <xm:f>'Host Variablen'!$D$2:$D$7</xm:f>
          </x14:formula1>
          <xm:sqref>N2:N54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2434-DB3C-0C4B-B255-65A0AA012839}">
  <sheetPr codeName="Sheet17"/>
  <dimension ref="A1:AU62"/>
  <sheetViews>
    <sheetView workbookViewId="0">
      <selection activeCell="A2" sqref="A2:D9"/>
    </sheetView>
  </sheetViews>
  <sheetFormatPr baseColWidth="10" defaultColWidth="11.5" defaultRowHeight="17" customHeight="1" x14ac:dyDescent="0.2"/>
  <cols>
    <col min="1" max="1" width="8.6640625" bestFit="1" customWidth="1"/>
    <col min="2" max="2" width="29.5" bestFit="1" customWidth="1"/>
    <col min="3" max="4" width="29.5" style="5" customWidth="1"/>
    <col min="5" max="5" width="10.6640625" hidden="1" customWidth="1"/>
    <col min="6" max="6" width="11.5" hidden="1" customWidth="1"/>
    <col min="7" max="7" width="14" hidden="1" customWidth="1"/>
    <col min="8" max="8" width="17.1640625" hidden="1" customWidth="1"/>
    <col min="9" max="9" width="10.6640625" hidden="1" customWidth="1"/>
    <col min="10" max="10" width="6" hidden="1" customWidth="1"/>
    <col min="11" max="11" width="8.33203125" hidden="1" customWidth="1"/>
    <col min="12" max="12" width="10" hidden="1" customWidth="1"/>
    <col min="13" max="13" width="11.83203125" hidden="1" customWidth="1"/>
    <col min="14" max="14" width="15" hidden="1" customWidth="1"/>
    <col min="15" max="15" width="20.6640625" hidden="1" customWidth="1"/>
    <col min="16" max="17" width="24.33203125" bestFit="1" customWidth="1"/>
    <col min="18" max="18" width="17.33203125" style="4" hidden="1" customWidth="1"/>
    <col min="19" max="19" width="12.83203125" hidden="1" customWidth="1"/>
    <col min="20" max="20" width="8.1640625" style="4" hidden="1" customWidth="1"/>
    <col min="21" max="21" width="13.33203125" hidden="1" customWidth="1"/>
    <col min="22" max="22" width="12.5" style="4" hidden="1" customWidth="1"/>
    <col min="23" max="23" width="15.5" hidden="1" customWidth="1"/>
    <col min="24" max="24" width="14.6640625" style="4" hidden="1" customWidth="1"/>
    <col min="25" max="25" width="4.6640625" hidden="1" customWidth="1"/>
    <col min="26" max="26" width="8.6640625" style="4" hidden="1" customWidth="1"/>
    <col min="27" max="27" width="4.5" hidden="1" customWidth="1"/>
    <col min="28" max="28" width="7.83203125" style="4" hidden="1" customWidth="1"/>
    <col min="29" max="29" width="211" hidden="1" customWidth="1"/>
    <col min="30" max="30" width="0" hidden="1" customWidth="1"/>
    <col min="31" max="31" width="6.33203125" bestFit="1" customWidth="1"/>
    <col min="32" max="32" width="8.33203125" bestFit="1" customWidth="1"/>
    <col min="33" max="33" width="6.33203125" bestFit="1" customWidth="1"/>
    <col min="34" max="34" width="9.1640625" bestFit="1" customWidth="1"/>
    <col min="35" max="38" width="24.33203125" bestFit="1" customWidth="1"/>
    <col min="41" max="42" width="13.5" bestFit="1" customWidth="1"/>
  </cols>
  <sheetData>
    <row r="1" spans="1:33" ht="17" customHeight="1" x14ac:dyDescent="0.2">
      <c r="A1" s="1" t="s">
        <v>0</v>
      </c>
      <c r="B1" s="1" t="s">
        <v>2</v>
      </c>
      <c r="C1" s="10"/>
      <c r="D1" s="10" t="s">
        <v>275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33" ht="17" customHeight="1" x14ac:dyDescent="0.2">
      <c r="A2" s="3" t="s">
        <v>218</v>
      </c>
      <c r="B2" s="3" t="s">
        <v>27</v>
      </c>
      <c r="C2" t="s">
        <v>217</v>
      </c>
      <c r="D2" s="5">
        <v>34.257652316461737</v>
      </c>
      <c r="E2" s="3" t="s">
        <v>219</v>
      </c>
      <c r="F2" s="3" t="s">
        <v>220</v>
      </c>
      <c r="G2" s="3" t="s">
        <v>118</v>
      </c>
      <c r="H2" t="s">
        <v>222</v>
      </c>
      <c r="I2" s="3" t="s">
        <v>120</v>
      </c>
      <c r="J2" s="3" t="s">
        <v>223</v>
      </c>
      <c r="K2" s="3" t="s">
        <v>221</v>
      </c>
      <c r="L2" s="3" t="s">
        <v>34</v>
      </c>
      <c r="N2" s="3" t="s">
        <v>35</v>
      </c>
      <c r="O2" s="3" t="s">
        <v>36</v>
      </c>
      <c r="P2" s="3" t="s">
        <v>188</v>
      </c>
      <c r="Q2" s="3" t="s">
        <v>190</v>
      </c>
      <c r="R2" s="6">
        <v>60</v>
      </c>
      <c r="S2" s="7" t="s">
        <v>36</v>
      </c>
      <c r="T2" s="6">
        <v>20</v>
      </c>
      <c r="U2" s="7" t="s">
        <v>36</v>
      </c>
      <c r="V2" s="6">
        <v>20</v>
      </c>
      <c r="W2" s="7" t="s">
        <v>36</v>
      </c>
      <c r="X2" s="6">
        <v>12</v>
      </c>
      <c r="Y2" s="7" t="s">
        <v>36</v>
      </c>
      <c r="Z2" s="6">
        <v>12</v>
      </c>
      <c r="AA2" s="7" t="s">
        <v>36</v>
      </c>
      <c r="AB2" s="4">
        <v>10</v>
      </c>
      <c r="AC2" t="str">
        <f>_xlfn.TEXTJOIN(",",,"INSERT INTO assetList VALUES (",A2,B2,C2,F2,E2,G2,H2,I2,J2,K2,L2,N2,P2,Q2,R2,S2,T2,U2,V2,W2,X2,Y2,Z2,AA2,AB2,")")</f>
        <v>INSERT INTO assetList VALUES (,300001,Hotel,Grand Hotel Les Trois Rois,7.5774017,47.5546032,5*,Blumenrain ,8,4001 ,Basel,Switzerland,SingleStandard,2021-06-10 16:00:00.000000,2021-08-19 15:00:00.000000,60,true,20,true,20,true,12,true,12,true,10,)</v>
      </c>
      <c r="AG2" s="2"/>
    </row>
    <row r="3" spans="1:33" ht="17" customHeight="1" x14ac:dyDescent="0.2">
      <c r="A3" s="3" t="s">
        <v>237</v>
      </c>
      <c r="B3" s="3" t="s">
        <v>27</v>
      </c>
      <c r="C3" t="s">
        <v>224</v>
      </c>
      <c r="D3" s="5">
        <v>34.257652316461737</v>
      </c>
      <c r="E3" s="3" t="s">
        <v>219</v>
      </c>
      <c r="F3" s="3" t="s">
        <v>220</v>
      </c>
      <c r="G3" s="3" t="s">
        <v>124</v>
      </c>
      <c r="H3" t="s">
        <v>225</v>
      </c>
      <c r="I3" s="3" t="s">
        <v>226</v>
      </c>
      <c r="J3" s="3" t="s">
        <v>223</v>
      </c>
      <c r="K3" s="3" t="s">
        <v>221</v>
      </c>
      <c r="L3" s="3" t="s">
        <v>34</v>
      </c>
      <c r="N3" s="3" t="s">
        <v>35</v>
      </c>
      <c r="O3" s="3" t="s">
        <v>36</v>
      </c>
      <c r="P3" s="3" t="s">
        <v>188</v>
      </c>
      <c r="Q3" s="3" t="s">
        <v>190</v>
      </c>
      <c r="R3" s="6">
        <v>40</v>
      </c>
      <c r="S3" s="7" t="s">
        <v>36</v>
      </c>
      <c r="T3" s="6">
        <v>15</v>
      </c>
      <c r="U3" s="7" t="s">
        <v>36</v>
      </c>
      <c r="V3" s="6">
        <v>10</v>
      </c>
      <c r="W3" s="7" t="s">
        <v>36</v>
      </c>
      <c r="X3" s="6">
        <v>10</v>
      </c>
      <c r="Y3" s="7" t="s">
        <v>36</v>
      </c>
      <c r="Z3" s="6">
        <v>10</v>
      </c>
      <c r="AA3" s="7" t="s">
        <v>36</v>
      </c>
      <c r="AB3" s="4">
        <v>10</v>
      </c>
      <c r="AC3" t="str">
        <f>_xlfn.TEXTJOIN(",",,"INSERT INTO assetList VALUES (",A3,B3,C3,F3,E3,G3,H3,I3,J3,K3,L3,N3,P3,Q3,R3,S3,T3,U3,V3,W3,X3,Y3,Z3,AA3,AB3,")")</f>
        <v>INSERT INTO assetList VALUES (,300002,Hotel,ART HOUSE Basel,7.5774017,47.5546032,4*,Steinenvorstadt,42,4001 ,Basel,Switzerland,SingleStandard,2021-06-10 16:00:00.000000,2021-08-19 15:00:00.000000,40,true,15,true,10,true,10,true,10,true,10,)</v>
      </c>
      <c r="AG3" s="2"/>
    </row>
    <row r="4" spans="1:33" ht="17" customHeight="1" x14ac:dyDescent="0.2">
      <c r="A4" s="3" t="s">
        <v>228</v>
      </c>
      <c r="B4" s="3" t="s">
        <v>27</v>
      </c>
      <c r="C4" t="s">
        <v>227</v>
      </c>
      <c r="D4" s="5">
        <v>35.759001435363807</v>
      </c>
      <c r="E4" s="3" t="s">
        <v>239</v>
      </c>
      <c r="F4" s="3" t="s">
        <v>240</v>
      </c>
      <c r="G4" s="3" t="s">
        <v>118</v>
      </c>
      <c r="H4" t="s">
        <v>230</v>
      </c>
      <c r="I4" s="3" t="s">
        <v>231</v>
      </c>
      <c r="J4" s="3" t="s">
        <v>232</v>
      </c>
      <c r="K4" s="3" t="s">
        <v>229</v>
      </c>
      <c r="L4" s="3" t="s">
        <v>34</v>
      </c>
      <c r="N4" s="3" t="s">
        <v>161</v>
      </c>
      <c r="O4" s="3" t="s">
        <v>36</v>
      </c>
      <c r="P4" s="3" t="s">
        <v>188</v>
      </c>
      <c r="Q4" s="3" t="s">
        <v>190</v>
      </c>
      <c r="R4" s="6">
        <v>60</v>
      </c>
      <c r="S4" s="7" t="s">
        <v>36</v>
      </c>
      <c r="T4" s="6">
        <v>18</v>
      </c>
      <c r="U4" s="7" t="s">
        <v>36</v>
      </c>
      <c r="V4" s="6">
        <v>14</v>
      </c>
      <c r="W4" s="7" t="s">
        <v>36</v>
      </c>
      <c r="X4" s="6">
        <v>12</v>
      </c>
      <c r="Y4" s="7" t="s">
        <v>36</v>
      </c>
      <c r="Z4" s="6">
        <v>12</v>
      </c>
      <c r="AA4" s="7" t="s">
        <v>36</v>
      </c>
      <c r="AB4" s="4">
        <v>10</v>
      </c>
      <c r="AC4" t="str">
        <f>_xlfn.TEXTJOIN(",",,"INSERT INTO assetList VALUES (",A4,B4,C4,F4,E4,G4,H4,I4,J4,K4,L4,N4,P4,Q4,R4,S4,T4,U4,V4,W4,X4,Y4,Z4,AA4,AB4,")")</f>
        <v>INSERT INTO assetList VALUES (,400001,Hotel,BELLEVUE PALACE,7.4454412,46.9475402,5*,Kochergasse,3,3001,Bern,Switzerland,JuniorSuite,2021-06-10 16:00:00.000000,2021-08-19 15:00:00.000000,60,true,18,true,14,true,12,true,12,true,10,)</v>
      </c>
      <c r="AG4" s="2"/>
    </row>
    <row r="5" spans="1:33" ht="17" customHeight="1" x14ac:dyDescent="0.2">
      <c r="A5" s="3" t="s">
        <v>236</v>
      </c>
      <c r="B5" s="3" t="s">
        <v>27</v>
      </c>
      <c r="C5" t="s">
        <v>234</v>
      </c>
      <c r="D5" s="5">
        <v>35.759001435363807</v>
      </c>
      <c r="E5" s="3" t="s">
        <v>239</v>
      </c>
      <c r="F5" s="3" t="s">
        <v>240</v>
      </c>
      <c r="G5" s="3" t="s">
        <v>124</v>
      </c>
      <c r="H5" t="s">
        <v>235</v>
      </c>
      <c r="I5" s="3" t="s">
        <v>231</v>
      </c>
      <c r="J5" s="3" t="s">
        <v>232</v>
      </c>
      <c r="K5" s="3" t="s">
        <v>229</v>
      </c>
      <c r="L5" s="3" t="s">
        <v>34</v>
      </c>
      <c r="N5" s="3" t="s">
        <v>174</v>
      </c>
      <c r="O5" s="3" t="s">
        <v>36</v>
      </c>
      <c r="P5" s="3" t="s">
        <v>188</v>
      </c>
      <c r="Q5" s="3" t="s">
        <v>190</v>
      </c>
      <c r="R5" s="6">
        <v>45</v>
      </c>
      <c r="S5" s="7" t="s">
        <v>36</v>
      </c>
      <c r="T5" s="6">
        <v>12</v>
      </c>
      <c r="U5" s="7" t="s">
        <v>36</v>
      </c>
      <c r="V5" s="6">
        <v>10</v>
      </c>
      <c r="W5" s="7" t="s">
        <v>36</v>
      </c>
      <c r="X5" s="6">
        <v>10</v>
      </c>
      <c r="Y5" s="7" t="s">
        <v>36</v>
      </c>
      <c r="Z5" s="6">
        <v>12</v>
      </c>
      <c r="AA5" s="7" t="s">
        <v>36</v>
      </c>
      <c r="AB5" s="4">
        <v>10</v>
      </c>
      <c r="AC5" t="str">
        <f>_xlfn.TEXTJOIN(",",,"INSERT INTO assetList VALUES (",A5,B5,C5,F5,E5,G5,H5,I5,J5,K5,L5,N5,P5,Q5,R5,S5,T5,U5,V5,W5,X5,Y5,Z5,AA5,AB5,")")</f>
        <v>INSERT INTO assetList VALUES (,400002,Hotel,Swissôtel Kursaal,7.4454412,46.9475402,4*,Kornhausstrasse,3,3001,Bern,Switzerland,"SingelBusiness",2021-06-10 16:00:00.000000,2021-08-19 15:00:00.000000,45,true,12,true,10,true,10,true,12,true,10,)</v>
      </c>
    </row>
    <row r="6" spans="1:33" ht="17" customHeight="1" x14ac:dyDescent="0.2">
      <c r="A6" s="3" t="s">
        <v>236</v>
      </c>
      <c r="B6" s="3" t="s">
        <v>27</v>
      </c>
      <c r="C6" t="s">
        <v>238</v>
      </c>
      <c r="D6" s="5">
        <v>35.759001435363807</v>
      </c>
      <c r="E6" s="3" t="s">
        <v>239</v>
      </c>
      <c r="F6" s="3" t="s">
        <v>240</v>
      </c>
      <c r="G6" s="3" t="s">
        <v>124</v>
      </c>
      <c r="H6" t="s">
        <v>241</v>
      </c>
      <c r="I6" s="3" t="s">
        <v>242</v>
      </c>
      <c r="J6" s="3" t="s">
        <v>232</v>
      </c>
      <c r="K6" s="3" t="s">
        <v>229</v>
      </c>
      <c r="L6" s="3" t="s">
        <v>34</v>
      </c>
      <c r="N6" s="3" t="s">
        <v>174</v>
      </c>
      <c r="O6" s="3" t="s">
        <v>36</v>
      </c>
      <c r="P6" s="3" t="s">
        <v>188</v>
      </c>
      <c r="Q6" s="3" t="s">
        <v>190</v>
      </c>
      <c r="R6" s="6">
        <v>42</v>
      </c>
      <c r="S6" s="7" t="s">
        <v>36</v>
      </c>
      <c r="T6" s="6">
        <v>10</v>
      </c>
      <c r="U6" s="7" t="s">
        <v>36</v>
      </c>
      <c r="V6" s="6">
        <v>10</v>
      </c>
      <c r="W6" s="7" t="s">
        <v>36</v>
      </c>
      <c r="X6" s="6">
        <v>10</v>
      </c>
      <c r="Y6" s="7" t="s">
        <v>36</v>
      </c>
      <c r="Z6" s="6">
        <v>12</v>
      </c>
      <c r="AA6" s="7" t="s">
        <v>36</v>
      </c>
      <c r="AB6" s="4">
        <v>10</v>
      </c>
      <c r="AC6" t="str">
        <f>_xlfn.TEXTJOIN(",",,"INSERT INTO assetList VALUES (",A6,B6,C6,F6,E6,G6,H6,I6,J6,K6,L6,N6,P6,Q6,R6,S6,T6,U6,V6,W6,X6,Y6,Z6,AA6,AB6,")")</f>
        <v>INSERT INTO assetList VALUES (,400002,Hotel,Boutique Hotel Belle Epoque,7.4454412,46.9475402,4*,Gerechtigkeitsgasse,18,3001,Bern,Switzerland,"SingelBusiness",2021-06-10 16:00:00.000000,2021-08-19 15:00:00.000000,42,true,10,true,10,true,10,true,12,true,10,)</v>
      </c>
    </row>
    <row r="7" spans="1:33" ht="17" customHeight="1" x14ac:dyDescent="0.2">
      <c r="A7" s="3">
        <v>100028</v>
      </c>
      <c r="B7" s="3" t="s">
        <v>27</v>
      </c>
      <c r="C7" s="3" t="s">
        <v>140</v>
      </c>
      <c r="D7" s="5">
        <v>85.76637730643553</v>
      </c>
      <c r="E7" s="3" t="s">
        <v>68</v>
      </c>
      <c r="F7" s="3" t="s">
        <v>141</v>
      </c>
      <c r="G7" s="3" t="s">
        <v>124</v>
      </c>
      <c r="H7" s="3" t="s">
        <v>142</v>
      </c>
      <c r="I7" s="3">
        <v>31</v>
      </c>
      <c r="J7" s="3">
        <v>8001</v>
      </c>
      <c r="K7" s="3" t="s">
        <v>33</v>
      </c>
      <c r="L7" s="3" t="s">
        <v>34</v>
      </c>
      <c r="M7" s="3"/>
      <c r="N7" s="3" t="s">
        <v>143</v>
      </c>
      <c r="O7" s="3" t="s">
        <v>36</v>
      </c>
      <c r="P7" s="3" t="s">
        <v>187</v>
      </c>
      <c r="Q7" s="3" t="s">
        <v>190</v>
      </c>
      <c r="R7" s="4">
        <v>34</v>
      </c>
      <c r="S7" s="3" t="s">
        <v>36</v>
      </c>
      <c r="T7" s="4">
        <v>15</v>
      </c>
      <c r="U7" s="3" t="s">
        <v>36</v>
      </c>
      <c r="V7" s="4">
        <v>15</v>
      </c>
      <c r="W7" s="3" t="s">
        <v>37</v>
      </c>
      <c r="X7" s="4">
        <v>8</v>
      </c>
      <c r="Y7" s="3" t="s">
        <v>36</v>
      </c>
      <c r="Z7" s="4">
        <v>10</v>
      </c>
      <c r="AA7" s="3" t="s">
        <v>36</v>
      </c>
      <c r="AB7" s="4">
        <v>10</v>
      </c>
      <c r="AC7" t="str">
        <f>_xlfn.TEXTJOIN(",",,"INSERT INTO assetList VALUES (",A7,B7,C7,F7,E7,G7,H7,I7,J7,K7,L7,N7,P7,Q7,R7,S7,T7,U7,V7,W7,X7,Y7,Z7,AA7,AB7,")")</f>
        <v>INSERT INTO assetList VALUES (,100028,Hotel,Hotel Glockenhof Zürich,8.53685,47.37319,4*,Sihlstrasse,31,8001,Zürich,Switzerland,DoubleSuperior,2021-06-10 15:00:00.000000,2021-08-19 15:00:00.000000,34,true,15,true,15,false,8,true,10,true,10,)</v>
      </c>
    </row>
    <row r="8" spans="1:33" ht="17" customHeight="1" x14ac:dyDescent="0.2">
      <c r="A8" s="3">
        <v>100016</v>
      </c>
      <c r="B8" s="3" t="s">
        <v>27</v>
      </c>
      <c r="C8" s="3" t="s">
        <v>92</v>
      </c>
      <c r="D8" s="5">
        <v>85.898435591635476</v>
      </c>
      <c r="E8" s="3" t="s">
        <v>94</v>
      </c>
      <c r="F8" s="3" t="s">
        <v>93</v>
      </c>
      <c r="G8" s="3" t="s">
        <v>31</v>
      </c>
      <c r="H8" s="3" t="s">
        <v>95</v>
      </c>
      <c r="I8" s="3">
        <v>5</v>
      </c>
      <c r="J8" s="3">
        <v>8005</v>
      </c>
      <c r="K8" s="3" t="s">
        <v>33</v>
      </c>
      <c r="L8" s="3" t="s">
        <v>34</v>
      </c>
      <c r="M8" s="3"/>
      <c r="N8" s="3" t="s">
        <v>53</v>
      </c>
      <c r="O8" s="3" t="s">
        <v>36</v>
      </c>
      <c r="P8" s="3" t="s">
        <v>272</v>
      </c>
      <c r="Q8" s="3" t="s">
        <v>273</v>
      </c>
      <c r="R8" s="4">
        <v>25</v>
      </c>
      <c r="S8" s="3" t="s">
        <v>36</v>
      </c>
      <c r="T8" s="4">
        <v>10</v>
      </c>
      <c r="U8" s="3" t="s">
        <v>36</v>
      </c>
      <c r="V8" s="4">
        <v>10</v>
      </c>
      <c r="W8" s="3" t="s">
        <v>36</v>
      </c>
      <c r="X8" s="4">
        <v>5</v>
      </c>
      <c r="Y8" s="3" t="s">
        <v>37</v>
      </c>
      <c r="Z8" s="4">
        <v>10</v>
      </c>
      <c r="AA8" s="3" t="s">
        <v>37</v>
      </c>
      <c r="AB8" s="4">
        <v>10</v>
      </c>
      <c r="AC8" t="str">
        <f>_xlfn.TEXTJOIN(",",,"INSERT INTO assetList VALUES (",A8,B8,C8,F8,E8,G8,H8,I8,J8,K8,L8,N8,P8,Q8,R8,S8,T8,U8,V8,W8,X8,Y8,Z8,AA8,AB8,")")</f>
        <v>INSERT INTO assetList VALUES (,100016,Hotel,Hotel Walhalla Zürich,8.53721,47.38028,3*,Limmatstrasse,5,8005,Zürich,Switzerland,DoubleStandard,2021-06-11 14:00:00.000000,2021-06-12 17:00:00.000000,25,true,10,true,10,true,5,false,10,false,10,)</v>
      </c>
    </row>
    <row r="9" spans="1:33" ht="17" customHeight="1" x14ac:dyDescent="0.2">
      <c r="A9" s="3" t="s">
        <v>244</v>
      </c>
      <c r="B9" s="3" t="s">
        <v>27</v>
      </c>
      <c r="C9" s="3" t="s">
        <v>115</v>
      </c>
      <c r="D9" s="5">
        <v>85.927174518856319</v>
      </c>
      <c r="E9" s="3" t="s">
        <v>117</v>
      </c>
      <c r="F9" s="3" t="s">
        <v>116</v>
      </c>
      <c r="G9" s="3" t="s">
        <v>118</v>
      </c>
      <c r="H9" s="3" t="s">
        <v>119</v>
      </c>
      <c r="I9" s="3">
        <v>12</v>
      </c>
      <c r="J9" s="3">
        <v>8001</v>
      </c>
      <c r="K9" s="3" t="s">
        <v>33</v>
      </c>
      <c r="L9" s="3" t="s">
        <v>34</v>
      </c>
      <c r="M9" s="3"/>
      <c r="N9" s="3" t="s">
        <v>35</v>
      </c>
      <c r="O9" s="3" t="s">
        <v>36</v>
      </c>
      <c r="P9" s="3" t="s">
        <v>272</v>
      </c>
      <c r="Q9" s="3" t="s">
        <v>273</v>
      </c>
      <c r="R9" s="4">
        <v>30</v>
      </c>
      <c r="S9" s="3" t="s">
        <v>36</v>
      </c>
      <c r="T9" s="4">
        <v>12</v>
      </c>
      <c r="U9" s="3" t="s">
        <v>36</v>
      </c>
      <c r="V9" s="4">
        <v>15</v>
      </c>
      <c r="W9" s="3" t="s">
        <v>36</v>
      </c>
      <c r="X9" s="4">
        <v>8</v>
      </c>
      <c r="Y9" s="3" t="s">
        <v>36</v>
      </c>
      <c r="Z9" s="4">
        <v>10</v>
      </c>
      <c r="AA9" s="3" t="s">
        <v>36</v>
      </c>
      <c r="AB9" s="4">
        <v>10</v>
      </c>
      <c r="AC9" t="str">
        <f>_xlfn.TEXTJOIN(",",,"INSERT INTO assetList VALUES (",A9,B9,C9,F9,E9,G9,H9,I9,J9,K9,L9,N9,P9,Q9,R9,S9,T9,U9,V9,W9,X9,Y9,Z9,AA9,AB9,")")</f>
        <v>INSERT INTO assetList VALUES (,100022.1,Hotel,Hotel Savoy Baur en Ville,8.53961,47.36997,5*,Poststrasse,12,8001,Zürich,Switzerland,SingleStandard,2021-06-11 14:00:00.000000,2021-06-12 17:00:00.000000,30,true,12,true,15,true,8,true,10,true,10,)</v>
      </c>
    </row>
    <row r="10" spans="1:33" ht="17" customHeight="1" x14ac:dyDescent="0.2">
      <c r="A10" s="3" t="s">
        <v>245</v>
      </c>
      <c r="B10" s="3" t="s">
        <v>27</v>
      </c>
      <c r="C10" s="3" t="s">
        <v>115</v>
      </c>
      <c r="D10" s="5">
        <v>85.927174518856319</v>
      </c>
      <c r="E10" s="3" t="s">
        <v>117</v>
      </c>
      <c r="F10" s="3" t="s">
        <v>116</v>
      </c>
      <c r="G10" s="3" t="s">
        <v>118</v>
      </c>
      <c r="H10" s="3" t="s">
        <v>119</v>
      </c>
      <c r="I10" s="3">
        <v>12</v>
      </c>
      <c r="J10" s="3">
        <v>8001</v>
      </c>
      <c r="K10" s="3" t="s">
        <v>33</v>
      </c>
      <c r="L10" s="3" t="s">
        <v>34</v>
      </c>
      <c r="M10" s="3"/>
      <c r="N10" s="3" t="s">
        <v>35</v>
      </c>
      <c r="O10" s="3" t="s">
        <v>36</v>
      </c>
      <c r="P10" s="3" t="s">
        <v>272</v>
      </c>
      <c r="Q10" s="3" t="s">
        <v>273</v>
      </c>
      <c r="R10" s="4">
        <v>31</v>
      </c>
      <c r="S10" s="3" t="s">
        <v>36</v>
      </c>
      <c r="T10" s="4">
        <v>12</v>
      </c>
      <c r="U10" s="3" t="s">
        <v>36</v>
      </c>
      <c r="V10" s="4">
        <v>15</v>
      </c>
      <c r="W10" s="3" t="s">
        <v>36</v>
      </c>
      <c r="X10" s="4">
        <v>8</v>
      </c>
      <c r="Y10" s="3" t="s">
        <v>36</v>
      </c>
      <c r="Z10" s="4">
        <v>10</v>
      </c>
      <c r="AA10" s="3" t="s">
        <v>36</v>
      </c>
      <c r="AB10" s="4">
        <v>10</v>
      </c>
      <c r="AC10" t="str">
        <f>_xlfn.TEXTJOIN(",",,"INSERT INTO assetList VALUES (",A10,B10,C10,F10,E10,G10,H10,I10,J10,K10,L10,N10,P10,Q10,R10,S10,T10,U10,V10,W10,X10,Y10,Z10,AA10,AB10,")")</f>
        <v>INSERT INTO assetList VALUES (,100022.2,Hotel,Hotel Savoy Baur en Ville,8.53961,47.36997,5*,Poststrasse,12,8001,Zürich,Switzerland,SingleStandard,2021-06-11 14:00:00.000000,2021-06-12 17:00:00.000000,31,true,12,true,15,true,8,true,10,true,10,)</v>
      </c>
    </row>
    <row r="11" spans="1:33" ht="17" customHeight="1" x14ac:dyDescent="0.2">
      <c r="A11" s="3" t="s">
        <v>246</v>
      </c>
      <c r="B11" s="3" t="s">
        <v>27</v>
      </c>
      <c r="C11" s="3" t="s">
        <v>115</v>
      </c>
      <c r="D11" s="5">
        <v>85.927174518856319</v>
      </c>
      <c r="E11" s="3" t="s">
        <v>117</v>
      </c>
      <c r="F11" s="3" t="s">
        <v>116</v>
      </c>
      <c r="G11" s="3" t="s">
        <v>118</v>
      </c>
      <c r="H11" s="3" t="s">
        <v>119</v>
      </c>
      <c r="I11" s="3">
        <v>12</v>
      </c>
      <c r="J11" s="3">
        <v>8001</v>
      </c>
      <c r="K11" s="3" t="s">
        <v>33</v>
      </c>
      <c r="L11" s="3" t="s">
        <v>34</v>
      </c>
      <c r="M11" s="3"/>
      <c r="N11" s="3" t="s">
        <v>177</v>
      </c>
      <c r="O11" s="3" t="s">
        <v>36</v>
      </c>
      <c r="P11" s="3" t="s">
        <v>272</v>
      </c>
      <c r="Q11" s="3" t="s">
        <v>273</v>
      </c>
      <c r="R11" s="4">
        <v>33</v>
      </c>
      <c r="S11" s="3" t="s">
        <v>36</v>
      </c>
      <c r="T11" s="4">
        <v>15</v>
      </c>
      <c r="U11" s="3" t="s">
        <v>36</v>
      </c>
      <c r="V11" s="4">
        <v>17</v>
      </c>
      <c r="W11" s="3" t="s">
        <v>37</v>
      </c>
      <c r="X11" s="4">
        <v>8</v>
      </c>
      <c r="Y11" s="3" t="s">
        <v>36</v>
      </c>
      <c r="Z11" s="4">
        <v>10</v>
      </c>
      <c r="AA11" s="3" t="s">
        <v>36</v>
      </c>
      <c r="AB11" s="4">
        <v>10</v>
      </c>
      <c r="AC11" t="str">
        <f>_xlfn.TEXTJOIN(",",,"INSERT INTO assetList VALUES (",A11,B11,C11,F11,E11,G11,H11,I11,J11,K11,L11,N11,P11,Q11,R11,S11,T11,U11,V11,W11,X11,Y11,Z11,AA11,AB11,")")</f>
        <v>INSERT INTO assetList VALUES (,100022.3,Hotel,Hotel Savoy Baur en Ville,8.53961,47.36997,5*,Poststrasse,12,8001,Zürich,Switzerland,"DoubleStandard",2021-06-11 14:00:00.000000,2021-06-12 17:00:00.000000,33,true,15,true,17,false,8,true,10,true,10,)</v>
      </c>
    </row>
    <row r="12" spans="1:33" ht="17" customHeight="1" x14ac:dyDescent="0.2">
      <c r="A12" s="3" t="s">
        <v>247</v>
      </c>
      <c r="B12" s="3" t="s">
        <v>27</v>
      </c>
      <c r="C12" s="3" t="s">
        <v>115</v>
      </c>
      <c r="D12" s="5">
        <v>85.927174518856319</v>
      </c>
      <c r="E12" s="3" t="s">
        <v>117</v>
      </c>
      <c r="F12" s="3" t="s">
        <v>116</v>
      </c>
      <c r="G12" s="3" t="s">
        <v>118</v>
      </c>
      <c r="H12" s="3" t="s">
        <v>119</v>
      </c>
      <c r="I12" s="3">
        <v>12</v>
      </c>
      <c r="J12" s="3">
        <v>8001</v>
      </c>
      <c r="K12" s="3" t="s">
        <v>33</v>
      </c>
      <c r="L12" s="3" t="s">
        <v>34</v>
      </c>
      <c r="M12" s="3"/>
      <c r="N12" s="3" t="s">
        <v>182</v>
      </c>
      <c r="O12" s="3" t="s">
        <v>36</v>
      </c>
      <c r="P12" s="3" t="s">
        <v>272</v>
      </c>
      <c r="Q12" s="3" t="s">
        <v>273</v>
      </c>
      <c r="R12" s="4">
        <v>35</v>
      </c>
      <c r="S12" s="3" t="s">
        <v>36</v>
      </c>
      <c r="T12" s="4">
        <v>17</v>
      </c>
      <c r="U12" s="3" t="s">
        <v>36</v>
      </c>
      <c r="V12" s="4">
        <v>17</v>
      </c>
      <c r="W12" s="3" t="s">
        <v>37</v>
      </c>
      <c r="X12" s="4">
        <v>8</v>
      </c>
      <c r="Y12" s="3" t="s">
        <v>36</v>
      </c>
      <c r="Z12" s="4">
        <v>10</v>
      </c>
      <c r="AA12" s="3" t="s">
        <v>36</v>
      </c>
      <c r="AB12" s="4">
        <v>10</v>
      </c>
      <c r="AC12" t="str">
        <f>_xlfn.TEXTJOIN(",",,"INSERT INTO assetList VALUES (",A12,B12,C12,F12,E12,G12,H12,I12,J12,K12,L12,N12,P12,Q12,R12,S12,T12,U12,V12,W12,X12,Y12,Z12,AA12,AB12,")")</f>
        <v>INSERT INTO assetList VALUES (,100022.4,Hotel,Hotel Savoy Baur en Ville,8.53961,47.36997,5*,Poststrasse,12,8001,Zürich,Switzerland,"DoubleBusiness",2021-06-11 14:00:00.000000,2021-06-12 17:00:00.000000,35,true,17,true,17,false,8,true,10,true,10,)</v>
      </c>
    </row>
    <row r="13" spans="1:33" ht="17" customHeight="1" x14ac:dyDescent="0.2">
      <c r="A13" s="3">
        <v>100032</v>
      </c>
      <c r="B13" s="3" t="s">
        <v>27</v>
      </c>
      <c r="C13" s="3" t="s">
        <v>154</v>
      </c>
      <c r="D13" s="5">
        <v>85.981749720814136</v>
      </c>
      <c r="E13" s="3" t="s">
        <v>156</v>
      </c>
      <c r="F13" s="3" t="s">
        <v>155</v>
      </c>
      <c r="G13" s="3" t="s">
        <v>118</v>
      </c>
      <c r="H13" s="3" t="s">
        <v>157</v>
      </c>
      <c r="I13" s="3">
        <v>7</v>
      </c>
      <c r="J13" s="3">
        <v>8001</v>
      </c>
      <c r="K13" s="3" t="s">
        <v>33</v>
      </c>
      <c r="L13" s="3" t="s">
        <v>34</v>
      </c>
      <c r="M13" s="3"/>
      <c r="N13" s="3" t="s">
        <v>143</v>
      </c>
      <c r="O13" s="3" t="s">
        <v>36</v>
      </c>
      <c r="P13" s="3" t="s">
        <v>188</v>
      </c>
      <c r="Q13" s="3" t="s">
        <v>190</v>
      </c>
      <c r="R13" s="4">
        <v>36</v>
      </c>
      <c r="S13" s="3" t="s">
        <v>36</v>
      </c>
      <c r="T13" s="4">
        <v>15</v>
      </c>
      <c r="U13" s="3" t="s">
        <v>36</v>
      </c>
      <c r="V13" s="4">
        <v>15</v>
      </c>
      <c r="W13" s="3" t="s">
        <v>37</v>
      </c>
      <c r="X13" s="4">
        <v>8</v>
      </c>
      <c r="Y13" s="3" t="s">
        <v>36</v>
      </c>
      <c r="Z13" s="4">
        <v>10</v>
      </c>
      <c r="AA13" s="3" t="s">
        <v>36</v>
      </c>
      <c r="AB13" s="4">
        <v>10</v>
      </c>
      <c r="AC13" t="str">
        <f>_xlfn.TEXTJOIN(",",,"INSERT INTO assetList VALUES (",A13,B13,C13,F13,E13,G13,H13,I13,J13,K13,L13,N13,P13,Q13,R13,S13,T13,U13,V13,W13,X13,Y13,Z13,AA13,AB13,")")</f>
        <v>INSERT INTO assetList VALUES (,100032,Hotel,Hotel Widder,8.53986,47.37253,5*,Rennweg,7,8001,Zürich,Switzerland,DoubleSuperior,2021-06-10 16:00:00.000000,2021-08-19 15:00:00.000000,36,true,15,true,15,false,8,true,10,true,10,)</v>
      </c>
    </row>
    <row r="14" spans="1:33" ht="17" customHeight="1" x14ac:dyDescent="0.2">
      <c r="A14" s="3">
        <v>100031</v>
      </c>
      <c r="B14" s="3" t="s">
        <v>27</v>
      </c>
      <c r="C14" s="3" t="s">
        <v>150</v>
      </c>
      <c r="D14" s="5">
        <v>86.002841757132018</v>
      </c>
      <c r="E14" s="3" t="s">
        <v>152</v>
      </c>
      <c r="F14" s="3" t="s">
        <v>151</v>
      </c>
      <c r="G14" s="3" t="s">
        <v>124</v>
      </c>
      <c r="H14" s="3" t="s">
        <v>153</v>
      </c>
      <c r="I14" s="3">
        <v>87</v>
      </c>
      <c r="J14" s="3">
        <v>8001</v>
      </c>
      <c r="K14" s="3" t="s">
        <v>33</v>
      </c>
      <c r="L14" s="3" t="s">
        <v>34</v>
      </c>
      <c r="M14" s="3"/>
      <c r="N14" s="3" t="s">
        <v>103</v>
      </c>
      <c r="O14" s="3" t="s">
        <v>36</v>
      </c>
      <c r="P14" s="3" t="s">
        <v>188</v>
      </c>
      <c r="Q14" s="3" t="s">
        <v>190</v>
      </c>
      <c r="R14" s="4">
        <v>36</v>
      </c>
      <c r="S14" s="3" t="s">
        <v>36</v>
      </c>
      <c r="T14" s="4">
        <v>15</v>
      </c>
      <c r="U14" s="3" t="s">
        <v>36</v>
      </c>
      <c r="V14" s="4">
        <v>15</v>
      </c>
      <c r="W14" s="3" t="s">
        <v>37</v>
      </c>
      <c r="X14" s="4">
        <v>8</v>
      </c>
      <c r="Y14" s="3" t="s">
        <v>36</v>
      </c>
      <c r="Z14" s="4">
        <v>10</v>
      </c>
      <c r="AA14" s="3" t="s">
        <v>36</v>
      </c>
      <c r="AB14" s="4">
        <v>10</v>
      </c>
      <c r="AC14" t="str">
        <f>_xlfn.TEXTJOIN(",",,"INSERT INTO assetList VALUES (",A14,B14,C14,F14,E14,G14,H14,I14,J14,K14,L14,N14,P14,Q14,R14,S14,T14,U14,V14,W14,X14,Y14,Z14,AA14,AB14,")")</f>
        <v>INSERT INTO assetList VALUES (,100031,Hotel,Hotel St. Gothard,8.53939,47.37641,4*,Bahnhofstrasse,87,8001,Zürich,Switzerland,DoubleBusiness,2021-06-10 16:00:00.000000,2021-08-19 15:00:00.000000,36,true,15,true,15,false,8,true,10,true,10,)</v>
      </c>
    </row>
    <row r="15" spans="1:33" ht="17" customHeight="1" x14ac:dyDescent="0.2">
      <c r="A15" s="3">
        <v>100023</v>
      </c>
      <c r="B15" s="3" t="s">
        <v>27</v>
      </c>
      <c r="C15" s="3" t="s">
        <v>121</v>
      </c>
      <c r="D15" s="5">
        <v>86.015605548992724</v>
      </c>
      <c r="E15" s="3" t="s">
        <v>123</v>
      </c>
      <c r="F15" s="3" t="s">
        <v>122</v>
      </c>
      <c r="G15" s="3" t="s">
        <v>124</v>
      </c>
      <c r="H15" s="3" t="s">
        <v>125</v>
      </c>
      <c r="I15" s="3">
        <v>7</v>
      </c>
      <c r="J15" s="3">
        <v>8001</v>
      </c>
      <c r="K15" s="3" t="s">
        <v>33</v>
      </c>
      <c r="L15" s="3" t="s">
        <v>34</v>
      </c>
      <c r="M15" s="3"/>
      <c r="N15" s="3" t="s">
        <v>35</v>
      </c>
      <c r="O15" s="3" t="s">
        <v>36</v>
      </c>
      <c r="P15" s="3" t="s">
        <v>186</v>
      </c>
      <c r="Q15" s="3" t="s">
        <v>190</v>
      </c>
      <c r="R15" s="4">
        <v>30</v>
      </c>
      <c r="S15" s="3" t="s">
        <v>36</v>
      </c>
      <c r="T15" s="4">
        <v>15</v>
      </c>
      <c r="U15" s="3" t="s">
        <v>36</v>
      </c>
      <c r="V15" s="4">
        <v>15</v>
      </c>
      <c r="W15" s="3" t="s">
        <v>37</v>
      </c>
      <c r="X15" s="4">
        <v>8</v>
      </c>
      <c r="Y15" s="3" t="s">
        <v>36</v>
      </c>
      <c r="Z15" s="4">
        <v>10</v>
      </c>
      <c r="AA15" s="3" t="s">
        <v>36</v>
      </c>
      <c r="AB15" s="4">
        <v>10</v>
      </c>
      <c r="AC15" t="str">
        <f>_xlfn.TEXTJOIN(",",,"INSERT INTO assetList VALUES (",A15,B15,C15,F15,E15,G15,H15,I15,J15,K15,L15,N15,P15,Q15,R15,S15,T15,U15,V15,W15,X15,Y15,Z15,AA15,AB15,")")</f>
        <v>INSERT INTO assetList VALUES (,100023,Hotel,Hotel Schweizerhof,8.53945,47.37697,4*,Bahnhofplatz,7,8001,Zürich,Switzerland,SingleStandard,2021-06-10 14:45:00.000000,2021-08-19 15:00:00.000000,30,true,15,true,15,false,8,true,10,true,10,)</v>
      </c>
    </row>
    <row r="16" spans="1:33" ht="17" customHeight="1" x14ac:dyDescent="0.2">
      <c r="A16" s="3">
        <v>100024</v>
      </c>
      <c r="B16" s="3" t="s">
        <v>27</v>
      </c>
      <c r="C16" s="3" t="s">
        <v>126</v>
      </c>
      <c r="D16" s="5">
        <v>86.017160546945419</v>
      </c>
      <c r="E16" s="3" t="s">
        <v>128</v>
      </c>
      <c r="F16" s="3" t="s">
        <v>127</v>
      </c>
      <c r="G16" s="3" t="s">
        <v>124</v>
      </c>
      <c r="H16" s="3" t="s">
        <v>129</v>
      </c>
      <c r="I16" s="3">
        <v>10</v>
      </c>
      <c r="J16" s="3">
        <v>8001</v>
      </c>
      <c r="K16" s="3" t="s">
        <v>33</v>
      </c>
      <c r="L16" s="3" t="s">
        <v>34</v>
      </c>
      <c r="M16" s="3"/>
      <c r="N16" s="3" t="s">
        <v>35</v>
      </c>
      <c r="O16" s="3" t="s">
        <v>36</v>
      </c>
      <c r="P16" s="3" t="s">
        <v>187</v>
      </c>
      <c r="Q16" s="3" t="s">
        <v>190</v>
      </c>
      <c r="R16" s="4">
        <v>30</v>
      </c>
      <c r="S16" s="3" t="s">
        <v>36</v>
      </c>
      <c r="T16" s="4">
        <v>15</v>
      </c>
      <c r="U16" s="3" t="s">
        <v>36</v>
      </c>
      <c r="V16" s="4">
        <v>15</v>
      </c>
      <c r="W16" s="3" t="s">
        <v>37</v>
      </c>
      <c r="X16" s="4">
        <v>8</v>
      </c>
      <c r="Y16" s="3" t="s">
        <v>36</v>
      </c>
      <c r="Z16" s="4">
        <v>10</v>
      </c>
      <c r="AA16" s="3" t="s">
        <v>36</v>
      </c>
      <c r="AB16" s="4">
        <v>10</v>
      </c>
      <c r="AC16" t="str">
        <f>_xlfn.TEXTJOIN(",",,"INSERT INTO assetList VALUES (",A16,B16,C16,F16,E16,G16,H16,I16,J16,K16,L16,N16,P16,Q16,R16,S16,T16,U16,V16,W16,X16,Y16,Z16,AA16,AB16,")")</f>
        <v>INSERT INTO assetList VALUES (,100024,Hotel,Hotel Sorell St. Peter,8.54066,47.3708,4*,In Gassen,10,8001,Zürich,Switzerland,SingleStandard,2021-06-10 15:00:00.000000,2021-08-19 15:00:00.000000,30,true,15,true,15,false,8,true,10,true,10,)</v>
      </c>
    </row>
    <row r="17" spans="1:29" ht="17" customHeight="1" x14ac:dyDescent="0.2">
      <c r="A17" s="3">
        <v>100007</v>
      </c>
      <c r="B17" s="3" t="s">
        <v>27</v>
      </c>
      <c r="C17" s="3" t="s">
        <v>58</v>
      </c>
      <c r="D17" s="5">
        <v>86.042464241706426</v>
      </c>
      <c r="E17" s="3" t="s">
        <v>60</v>
      </c>
      <c r="F17" s="3" t="s">
        <v>59</v>
      </c>
      <c r="G17" s="3" t="s">
        <v>31</v>
      </c>
      <c r="H17" s="3" t="s">
        <v>61</v>
      </c>
      <c r="I17" s="3">
        <v>1</v>
      </c>
      <c r="J17" s="3">
        <v>8001</v>
      </c>
      <c r="K17" s="3" t="s">
        <v>33</v>
      </c>
      <c r="L17" s="3" t="s">
        <v>34</v>
      </c>
      <c r="M17" s="3"/>
      <c r="N17" s="3" t="s">
        <v>53</v>
      </c>
      <c r="O17" s="3" t="s">
        <v>36</v>
      </c>
      <c r="P17" s="3" t="s">
        <v>184</v>
      </c>
      <c r="Q17" s="3" t="s">
        <v>189</v>
      </c>
      <c r="R17" s="4">
        <v>23</v>
      </c>
      <c r="S17" s="3" t="s">
        <v>36</v>
      </c>
      <c r="T17" s="4">
        <v>10</v>
      </c>
      <c r="U17" s="3" t="s">
        <v>36</v>
      </c>
      <c r="V17" s="4">
        <v>10</v>
      </c>
      <c r="W17" s="3" t="s">
        <v>37</v>
      </c>
      <c r="X17" s="4">
        <v>5</v>
      </c>
      <c r="Y17" s="3" t="s">
        <v>37</v>
      </c>
      <c r="Z17" s="4">
        <v>10</v>
      </c>
      <c r="AA17" s="3" t="s">
        <v>37</v>
      </c>
      <c r="AB17" s="4">
        <v>10</v>
      </c>
      <c r="AC17" t="str">
        <f>_xlfn.TEXTJOIN(",",,"INSERT INTO assetList VALUES (",A17,B17,C17,F17,E17,G17,H17,I17,J17,K17,L17,N17,P17,Q17,R17,S17,T17,U17,V17,W17,X17,Y17,Z17,AA17,AB17,")")</f>
        <v>INSERT INTO assetList VALUES (,100007,Hotel,Hotel Kindli,8.54069,47.37244,3*,Pfalzgasse,1,8001,Zürich,Switzerland,DoubleStandard,2021-06-10 13:30:00.000000,2021-06-11 12:00:00.000000,23,true,10,true,10,false,5,false,10,false,10,)</v>
      </c>
    </row>
    <row r="18" spans="1:29" ht="17" customHeight="1" x14ac:dyDescent="0.2">
      <c r="A18" s="3">
        <v>100015</v>
      </c>
      <c r="B18" s="3" t="s">
        <v>27</v>
      </c>
      <c r="C18" s="3" t="s">
        <v>88</v>
      </c>
      <c r="D18" s="5">
        <v>86.052118270658951</v>
      </c>
      <c r="E18" s="3" t="s">
        <v>90</v>
      </c>
      <c r="F18" s="3" t="s">
        <v>89</v>
      </c>
      <c r="G18" s="3" t="s">
        <v>31</v>
      </c>
      <c r="H18" s="3" t="s">
        <v>91</v>
      </c>
      <c r="I18" s="3">
        <v>7</v>
      </c>
      <c r="J18" s="3">
        <v>8001</v>
      </c>
      <c r="K18" s="3" t="s">
        <v>33</v>
      </c>
      <c r="L18" s="3" t="s">
        <v>34</v>
      </c>
      <c r="M18" s="3"/>
      <c r="N18" s="3" t="s">
        <v>53</v>
      </c>
      <c r="O18" s="3" t="s">
        <v>36</v>
      </c>
      <c r="P18" s="3" t="s">
        <v>272</v>
      </c>
      <c r="Q18" s="3" t="s">
        <v>273</v>
      </c>
      <c r="R18" s="4">
        <v>25</v>
      </c>
      <c r="S18" s="3" t="s">
        <v>36</v>
      </c>
      <c r="T18" s="4">
        <v>10</v>
      </c>
      <c r="U18" s="3" t="s">
        <v>36</v>
      </c>
      <c r="V18" s="4">
        <v>10</v>
      </c>
      <c r="W18" s="3" t="s">
        <v>37</v>
      </c>
      <c r="X18" s="4">
        <v>5</v>
      </c>
      <c r="Y18" s="3" t="s">
        <v>37</v>
      </c>
      <c r="Z18" s="4">
        <v>10</v>
      </c>
      <c r="AA18" s="3" t="s">
        <v>37</v>
      </c>
      <c r="AB18" s="4">
        <v>10</v>
      </c>
      <c r="AC18" t="str">
        <f>_xlfn.TEXTJOIN(",",,"INSERT INTO assetList VALUES (",A18,B18,C18,F18,E18,G18,H18,I18,J18,K18,L18,N18,P18,Q18,R18,S18,T18,U18,V18,W18,X18,Y18,Z18,AA18,AB18,")")</f>
        <v>INSERT INTO assetList VALUES (,100015,Hotel,Hotel Townhouse,8.54007,47.37631,3*,Schützengasse,7,8001,Zürich,Switzerland,DoubleStandard,2021-06-11 14:00:00.000000,2021-06-12 17:00:00.000000,25,true,10,true,10,false,5,false,10,false,10,)</v>
      </c>
    </row>
    <row r="19" spans="1:29" ht="17" customHeight="1" x14ac:dyDescent="0.2">
      <c r="A19" s="3">
        <v>100027</v>
      </c>
      <c r="B19" s="3" t="s">
        <v>27</v>
      </c>
      <c r="C19" s="3" t="s">
        <v>136</v>
      </c>
      <c r="D19" s="5">
        <v>86.108118263810297</v>
      </c>
      <c r="E19" s="3" t="s">
        <v>138</v>
      </c>
      <c r="F19" s="3" t="s">
        <v>137</v>
      </c>
      <c r="G19" s="3" t="s">
        <v>118</v>
      </c>
      <c r="H19" s="3" t="s">
        <v>139</v>
      </c>
      <c r="I19" s="3">
        <v>2</v>
      </c>
      <c r="J19" s="3">
        <v>8001</v>
      </c>
      <c r="K19" s="3" t="s">
        <v>33</v>
      </c>
      <c r="L19" s="3" t="s">
        <v>34</v>
      </c>
      <c r="M19" s="3"/>
      <c r="N19" s="3" t="s">
        <v>53</v>
      </c>
      <c r="O19" s="3" t="s">
        <v>36</v>
      </c>
      <c r="P19" s="3" t="s">
        <v>187</v>
      </c>
      <c r="Q19" s="3" t="s">
        <v>190</v>
      </c>
      <c r="R19" s="4">
        <v>32</v>
      </c>
      <c r="S19" s="3" t="s">
        <v>36</v>
      </c>
      <c r="T19" s="4">
        <v>15</v>
      </c>
      <c r="U19" s="3" t="s">
        <v>36</v>
      </c>
      <c r="V19" s="4">
        <v>15</v>
      </c>
      <c r="W19" s="3" t="s">
        <v>37</v>
      </c>
      <c r="X19" s="4">
        <v>8</v>
      </c>
      <c r="Y19" s="3" t="s">
        <v>36</v>
      </c>
      <c r="Z19" s="4">
        <v>10</v>
      </c>
      <c r="AA19" s="3" t="s">
        <v>36</v>
      </c>
      <c r="AB19" s="4">
        <v>10</v>
      </c>
      <c r="AC19" t="str">
        <f>_xlfn.TEXTJOIN(",",,"INSERT INTO assetList VALUES (",A19,B19,C19,F19,E19,G19,H19,I19,J19,K19,L19,N19,P19,Q19,R19,S19,T19,U19,V19,W19,X19,Y19,Z19,AA19,AB19,")")</f>
        <v>INSERT INTO assetList VALUES (,100027,Hotel,Hotel Storchen,8.54169,47.3718,5*,Weinplatz,2,8001,Zürich,Switzerland,DoubleStandard,2021-06-10 15:00:00.000000,2021-08-19 15:00:00.000000,32,true,15,true,15,false,8,true,10,true,10,)</v>
      </c>
    </row>
    <row r="20" spans="1:29" ht="17" customHeight="1" x14ac:dyDescent="0.2">
      <c r="A20" s="3">
        <v>100034</v>
      </c>
      <c r="B20" s="3" t="s">
        <v>27</v>
      </c>
      <c r="C20" s="3" t="s">
        <v>162</v>
      </c>
      <c r="D20" s="5">
        <v>86.190626641379566</v>
      </c>
      <c r="E20" s="3" t="s">
        <v>163</v>
      </c>
      <c r="F20" s="3" t="s">
        <v>127</v>
      </c>
      <c r="G20" s="3" t="s">
        <v>118</v>
      </c>
      <c r="H20" s="3" t="s">
        <v>164</v>
      </c>
      <c r="I20" s="3">
        <v>42</v>
      </c>
      <c r="J20" s="3">
        <v>8006</v>
      </c>
      <c r="K20" s="3" t="s">
        <v>33</v>
      </c>
      <c r="L20" s="3" t="s">
        <v>34</v>
      </c>
      <c r="M20" s="3"/>
      <c r="N20" s="3" t="s">
        <v>161</v>
      </c>
      <c r="O20" s="3" t="s">
        <v>36</v>
      </c>
      <c r="P20" s="3" t="s">
        <v>188</v>
      </c>
      <c r="Q20" s="3" t="s">
        <v>190</v>
      </c>
      <c r="R20" s="4">
        <v>40</v>
      </c>
      <c r="S20" s="3" t="s">
        <v>36</v>
      </c>
      <c r="T20" s="4">
        <v>15</v>
      </c>
      <c r="U20" s="3" t="s">
        <v>36</v>
      </c>
      <c r="V20" s="4">
        <v>15</v>
      </c>
      <c r="W20" s="3" t="s">
        <v>36</v>
      </c>
      <c r="X20" s="4">
        <v>8</v>
      </c>
      <c r="Y20" s="3" t="s">
        <v>36</v>
      </c>
      <c r="Z20" s="4">
        <v>10</v>
      </c>
      <c r="AA20" s="3" t="s">
        <v>36</v>
      </c>
      <c r="AB20" s="4">
        <v>10</v>
      </c>
      <c r="AC20" t="str">
        <f>_xlfn.TEXTJOIN(",",,"INSERT INTO assetList VALUES (",A20,B20,C20,F20,E20,G20,H20,I20,J20,K20,L20,N20,P20,Q20,R20,S20,T20,U20,V20,W20,X20,Y20,Z20,AA20,AB20,")")</f>
        <v>INSERT INTO assetList VALUES (,100034,Hotel,Hotel Marriott Zürich,8.54066,47.38254,5*,Neumühlequai,42,8006,Zürich,Switzerland,JuniorSuite,2021-06-10 16:00:00.000000,2021-08-19 15:00:00.000000,40,true,15,true,15,true,8,true,10,true,10,)</v>
      </c>
    </row>
    <row r="21" spans="1:29" ht="17" customHeight="1" x14ac:dyDescent="0.2">
      <c r="A21" s="3">
        <v>100030</v>
      </c>
      <c r="B21" s="3" t="s">
        <v>27</v>
      </c>
      <c r="C21" s="3" t="s">
        <v>147</v>
      </c>
      <c r="D21" s="5">
        <v>86.248307434913059</v>
      </c>
      <c r="E21" s="3" t="s">
        <v>149</v>
      </c>
      <c r="F21" s="3" t="s">
        <v>148</v>
      </c>
      <c r="G21" s="3" t="s">
        <v>124</v>
      </c>
      <c r="H21" s="3" t="s">
        <v>102</v>
      </c>
      <c r="I21" s="3">
        <v>30</v>
      </c>
      <c r="J21" s="3">
        <v>8001</v>
      </c>
      <c r="K21" s="3" t="s">
        <v>33</v>
      </c>
      <c r="L21" s="3" t="s">
        <v>34</v>
      </c>
      <c r="M21" s="3"/>
      <c r="N21" s="3" t="s">
        <v>103</v>
      </c>
      <c r="O21" s="3" t="s">
        <v>36</v>
      </c>
      <c r="P21" s="3" t="s">
        <v>188</v>
      </c>
      <c r="Q21" s="3" t="s">
        <v>190</v>
      </c>
      <c r="R21" s="4">
        <v>36</v>
      </c>
      <c r="S21" s="3" t="s">
        <v>36</v>
      </c>
      <c r="T21" s="4">
        <v>15</v>
      </c>
      <c r="U21" s="3" t="s">
        <v>36</v>
      </c>
      <c r="V21" s="4">
        <v>15</v>
      </c>
      <c r="W21" s="3" t="s">
        <v>37</v>
      </c>
      <c r="X21" s="4">
        <v>8</v>
      </c>
      <c r="Y21" s="3" t="s">
        <v>36</v>
      </c>
      <c r="Z21" s="4">
        <v>10</v>
      </c>
      <c r="AA21" s="3" t="s">
        <v>36</v>
      </c>
      <c r="AB21" s="4">
        <v>10</v>
      </c>
      <c r="AC21" t="str">
        <f>_xlfn.TEXTJOIN(",",,"INSERT INTO assetList VALUES (",A21,B21,C21,F21,E21,G21,H21,I21,J21,K21,L21,N21,P21,Q21,R21,S21,T21,U21,V21,W21,X21,Y21,Z21,AA21,AB21,")")</f>
        <v>INSERT INTO assetList VALUES (,100030,Hotel,Hotel Helmhaus,8.54406,47.36914,4*,Schifflände,30,8001,Zürich,Switzerland,DoubleBusiness,2021-06-10 16:00:00.000000,2021-08-19 15:00:00.000000,36,true,15,true,15,false,8,true,10,true,10,)</v>
      </c>
    </row>
    <row r="22" spans="1:29" ht="17" customHeight="1" x14ac:dyDescent="0.2">
      <c r="A22" s="3" t="s">
        <v>191</v>
      </c>
      <c r="B22" s="3" t="s">
        <v>27</v>
      </c>
      <c r="C22" s="3" t="s">
        <v>28</v>
      </c>
      <c r="D22" s="5">
        <v>86.255054290408168</v>
      </c>
      <c r="E22" s="3" t="s">
        <v>30</v>
      </c>
      <c r="F22" s="3" t="s">
        <v>29</v>
      </c>
      <c r="G22" s="3" t="s">
        <v>31</v>
      </c>
      <c r="H22" s="3" t="s">
        <v>32</v>
      </c>
      <c r="I22" s="3">
        <v>4</v>
      </c>
      <c r="J22" s="3">
        <v>8001</v>
      </c>
      <c r="K22" s="3" t="s">
        <v>33</v>
      </c>
      <c r="L22" s="3" t="s">
        <v>34</v>
      </c>
      <c r="M22" s="3"/>
      <c r="N22" s="3" t="s">
        <v>35</v>
      </c>
      <c r="O22" s="3" t="s">
        <v>36</v>
      </c>
      <c r="P22" s="3" t="s">
        <v>183</v>
      </c>
      <c r="Q22" s="3" t="s">
        <v>189</v>
      </c>
      <c r="R22" s="4">
        <v>20</v>
      </c>
      <c r="S22" s="3" t="s">
        <v>36</v>
      </c>
      <c r="T22" s="4">
        <v>10</v>
      </c>
      <c r="U22" s="3" t="s">
        <v>36</v>
      </c>
      <c r="V22" s="4">
        <v>10</v>
      </c>
      <c r="W22" s="3" t="s">
        <v>36</v>
      </c>
      <c r="X22" s="4">
        <v>5</v>
      </c>
      <c r="Y22" s="3" t="s">
        <v>37</v>
      </c>
      <c r="Z22" s="4">
        <v>10</v>
      </c>
      <c r="AA22" s="3" t="s">
        <v>37</v>
      </c>
      <c r="AB22" s="4">
        <v>10</v>
      </c>
      <c r="AC22" t="str">
        <f>_xlfn.TEXTJOIN(",",,"INSERT INTO assetList VALUES (",A22,B22,C22,F22,E22,G22,H22,I22,J22,K22,L22,N22,P22,Q22,R22,S22,T22,U22,V22,W22,X22,Y22,Z22,AA22,AB22,")")</f>
        <v>INSERT INTO assetList VALUES (,100001.1,Hotel,Hotel Altstadt,8.54411,47.36936,3*,Kirchgasse,4,8001,Zürich,Switzerland,SingleStandard,2021-06-10 13:00:00.000000,2021-06-11 12:00:00.000000,20,true,10,true,10,true,5,false,10,false,10,)</v>
      </c>
    </row>
    <row r="23" spans="1:29" ht="17" customHeight="1" x14ac:dyDescent="0.2">
      <c r="A23" s="3" t="s">
        <v>192</v>
      </c>
      <c r="B23" s="3" t="s">
        <v>27</v>
      </c>
      <c r="C23" s="3" t="s">
        <v>28</v>
      </c>
      <c r="D23" s="5">
        <v>86.255054290408168</v>
      </c>
      <c r="E23" s="3" t="s">
        <v>30</v>
      </c>
      <c r="F23" s="3" t="s">
        <v>29</v>
      </c>
      <c r="G23" s="3" t="s">
        <v>31</v>
      </c>
      <c r="H23" s="3" t="s">
        <v>32</v>
      </c>
      <c r="I23" s="3">
        <v>4</v>
      </c>
      <c r="J23" s="3">
        <v>8001</v>
      </c>
      <c r="K23" s="3" t="s">
        <v>33</v>
      </c>
      <c r="L23" s="3" t="s">
        <v>34</v>
      </c>
      <c r="M23" s="3"/>
      <c r="N23" s="3" t="s">
        <v>174</v>
      </c>
      <c r="O23" s="3" t="s">
        <v>36</v>
      </c>
      <c r="P23" s="3" t="s">
        <v>183</v>
      </c>
      <c r="Q23" s="3" t="s">
        <v>189</v>
      </c>
      <c r="R23" s="4">
        <v>25</v>
      </c>
      <c r="S23" s="3" t="s">
        <v>36</v>
      </c>
      <c r="T23" s="4">
        <v>10</v>
      </c>
      <c r="U23" s="3" t="s">
        <v>36</v>
      </c>
      <c r="V23" s="4">
        <v>10</v>
      </c>
      <c r="W23" s="3" t="s">
        <v>36</v>
      </c>
      <c r="X23" s="4">
        <v>5</v>
      </c>
      <c r="Y23" s="3" t="s">
        <v>37</v>
      </c>
      <c r="Z23" s="4">
        <v>10</v>
      </c>
      <c r="AA23" s="3" t="s">
        <v>37</v>
      </c>
      <c r="AB23" s="4">
        <v>10</v>
      </c>
      <c r="AC23" t="str">
        <f>_xlfn.TEXTJOIN(",",,"INSERT INTO assetList VALUES (",A23,B23,C23,F23,E23,G23,H23,I23,J23,K23,L23,N23,P23,Q23,R23,S23,T23,U23,V23,W23,X23,Y23,Z23,AA23,AB23,")")</f>
        <v>INSERT INTO assetList VALUES (,100001.2,Hotel,Hotel Altstadt,8.54411,47.36936,3*,Kirchgasse,4,8001,Zürich,Switzerland,"SingelBusiness",2021-06-10 13:00:00.000000,2021-06-11 12:00:00.000000,25,true,10,true,10,true,5,false,10,false,10,)</v>
      </c>
    </row>
    <row r="24" spans="1:29" ht="17" customHeight="1" x14ac:dyDescent="0.2">
      <c r="A24" s="3" t="s">
        <v>193</v>
      </c>
      <c r="B24" s="3" t="s">
        <v>27</v>
      </c>
      <c r="C24" s="3" t="s">
        <v>28</v>
      </c>
      <c r="D24" s="5">
        <v>86.255054290408168</v>
      </c>
      <c r="E24" s="3" t="s">
        <v>30</v>
      </c>
      <c r="F24" s="3" t="s">
        <v>29</v>
      </c>
      <c r="G24" s="3" t="s">
        <v>31</v>
      </c>
      <c r="H24" s="3" t="s">
        <v>32</v>
      </c>
      <c r="I24" s="3">
        <v>4</v>
      </c>
      <c r="J24" s="3">
        <v>8001</v>
      </c>
      <c r="K24" s="3" t="s">
        <v>33</v>
      </c>
      <c r="L24" s="3" t="s">
        <v>34</v>
      </c>
      <c r="M24" s="3"/>
      <c r="N24" s="3" t="s">
        <v>161</v>
      </c>
      <c r="O24" s="3" t="s">
        <v>36</v>
      </c>
      <c r="P24" s="3" t="s">
        <v>183</v>
      </c>
      <c r="Q24" s="3" t="s">
        <v>189</v>
      </c>
      <c r="R24" s="4">
        <v>30</v>
      </c>
      <c r="S24" s="3" t="s">
        <v>36</v>
      </c>
      <c r="T24" s="4">
        <v>10</v>
      </c>
      <c r="U24" s="3" t="s">
        <v>36</v>
      </c>
      <c r="V24" s="4">
        <v>10</v>
      </c>
      <c r="W24" s="3" t="s">
        <v>36</v>
      </c>
      <c r="X24" s="4">
        <v>5</v>
      </c>
      <c r="Y24" s="3" t="s">
        <v>37</v>
      </c>
      <c r="Z24" s="4">
        <v>10</v>
      </c>
      <c r="AA24" s="3" t="s">
        <v>37</v>
      </c>
      <c r="AB24" s="4">
        <v>10</v>
      </c>
      <c r="AC24" t="str">
        <f>_xlfn.TEXTJOIN(",",,"INSERT INTO assetList VALUES (",A24,B24,C24,F24,E24,G24,H24,I24,J24,K24,L24,N24,P24,Q24,R24,S24,T24,U24,V24,W24,X24,Y24,Z24,AA24,AB24,")")</f>
        <v>INSERT INTO assetList VALUES (,100001.3,Hotel,Hotel Altstadt,8.54411,47.36936,3*,Kirchgasse,4,8001,Zürich,Switzerland,JuniorSuite,2021-06-10 13:00:00.000000,2021-06-11 12:00:00.000000,30,true,10,true,10,true,5,false,10,false,10,)</v>
      </c>
    </row>
    <row r="25" spans="1:29" ht="17" customHeight="1" x14ac:dyDescent="0.2">
      <c r="A25" s="3">
        <v>100033</v>
      </c>
      <c r="B25" s="3" t="s">
        <v>27</v>
      </c>
      <c r="C25" s="3" t="s">
        <v>158</v>
      </c>
      <c r="D25" s="5">
        <v>86.25972619510992</v>
      </c>
      <c r="E25" s="3" t="s">
        <v>159</v>
      </c>
      <c r="F25" s="3" t="s">
        <v>39</v>
      </c>
      <c r="G25" s="3" t="s">
        <v>124</v>
      </c>
      <c r="H25" s="3" t="s">
        <v>160</v>
      </c>
      <c r="I25" s="3">
        <v>17</v>
      </c>
      <c r="J25" s="3">
        <v>8001</v>
      </c>
      <c r="K25" s="3" t="s">
        <v>33</v>
      </c>
      <c r="L25" s="3" t="s">
        <v>34</v>
      </c>
      <c r="M25" s="3"/>
      <c r="N25" s="3" t="s">
        <v>161</v>
      </c>
      <c r="O25" s="3" t="s">
        <v>36</v>
      </c>
      <c r="P25" s="3" t="s">
        <v>188</v>
      </c>
      <c r="Q25" s="3" t="s">
        <v>190</v>
      </c>
      <c r="R25" s="4">
        <v>40</v>
      </c>
      <c r="S25" s="3" t="s">
        <v>36</v>
      </c>
      <c r="T25" s="4">
        <v>15</v>
      </c>
      <c r="U25" s="3" t="s">
        <v>36</v>
      </c>
      <c r="V25" s="4">
        <v>15</v>
      </c>
      <c r="W25" s="3" t="s">
        <v>36</v>
      </c>
      <c r="X25" s="4">
        <v>8</v>
      </c>
      <c r="Y25" s="3" t="s">
        <v>36</v>
      </c>
      <c r="Z25" s="4">
        <v>10</v>
      </c>
      <c r="AA25" s="3" t="s">
        <v>36</v>
      </c>
      <c r="AB25" s="4">
        <v>10</v>
      </c>
      <c r="AC25" t="str">
        <f>_xlfn.TEXTJOIN(",",,"INSERT INTO assetList VALUES (",A25,B25,C25,F25,E25,G25,H25,I25,J25,K25,L25,N25,P25,Q25,R25,S25,T25,U25,V25,W25,X25,Y25,Z25,AA25,AB25,")")</f>
        <v>INSERT INTO assetList VALUES (,100033,Hotel,Hotel Marktgasse,8.54368,47.37201,4*,Marktgasse,17,8001,Zürich,Switzerland,JuniorSuite,2021-06-10 16:00:00.000000,2021-08-19 15:00:00.000000,40,true,15,true,15,true,8,true,10,true,10,)</v>
      </c>
    </row>
    <row r="26" spans="1:29" ht="17" customHeight="1" x14ac:dyDescent="0.2">
      <c r="A26" s="3">
        <v>100009</v>
      </c>
      <c r="B26" s="3" t="s">
        <v>27</v>
      </c>
      <c r="C26" s="3" t="s">
        <v>66</v>
      </c>
      <c r="D26" s="5">
        <v>86.274941286917581</v>
      </c>
      <c r="E26" s="3" t="s">
        <v>68</v>
      </c>
      <c r="F26" s="3" t="s">
        <v>67</v>
      </c>
      <c r="G26" s="3" t="s">
        <v>31</v>
      </c>
      <c r="H26" s="3" t="s">
        <v>69</v>
      </c>
      <c r="I26" s="3">
        <v>10</v>
      </c>
      <c r="J26" s="3">
        <v>8001</v>
      </c>
      <c r="K26" s="3" t="s">
        <v>33</v>
      </c>
      <c r="L26" s="3" t="s">
        <v>34</v>
      </c>
      <c r="M26" s="3"/>
      <c r="N26" s="3" t="s">
        <v>53</v>
      </c>
      <c r="O26" s="3" t="s">
        <v>36</v>
      </c>
      <c r="P26" s="3" t="s">
        <v>184</v>
      </c>
      <c r="Q26" s="3" t="s">
        <v>189</v>
      </c>
      <c r="R26" s="4">
        <v>25</v>
      </c>
      <c r="S26" s="3" t="s">
        <v>36</v>
      </c>
      <c r="T26" s="4">
        <v>10</v>
      </c>
      <c r="U26" s="3" t="s">
        <v>36</v>
      </c>
      <c r="V26" s="4">
        <v>10</v>
      </c>
      <c r="W26" s="3" t="s">
        <v>37</v>
      </c>
      <c r="X26" s="4">
        <v>5</v>
      </c>
      <c r="Y26" s="3" t="s">
        <v>37</v>
      </c>
      <c r="Z26" s="4">
        <v>10</v>
      </c>
      <c r="AA26" s="3" t="s">
        <v>36</v>
      </c>
      <c r="AB26" s="4">
        <v>10</v>
      </c>
      <c r="AC26" t="str">
        <f>_xlfn.TEXTJOIN(",",,"INSERT INTO assetList VALUES (",A26,B26,C26,F26,E26,G26,H26,I26,J26,K26,L26,N26,P26,Q26,R26,S26,T26,U26,V26,W26,X26,Y26,Z26,AA26,AB26,")")</f>
        <v>INSERT INTO assetList VALUES (,100009,Hotel,Hotel Adler,8.54366,47.37319,3*,Rosengasse,10,8001,Zürich,Switzerland,DoubleStandard,2021-06-10 13:30:00.000000,2021-06-11 12:00:00.000000,25,true,10,true,10,false,5,false,10,true,10,)</v>
      </c>
    </row>
    <row r="27" spans="1:29" ht="17" customHeight="1" x14ac:dyDescent="0.2">
      <c r="A27" s="3">
        <v>100013</v>
      </c>
      <c r="B27" s="3" t="s">
        <v>27</v>
      </c>
      <c r="C27" s="3" t="s">
        <v>80</v>
      </c>
      <c r="D27" s="5">
        <v>86.277327552237608</v>
      </c>
      <c r="E27" s="3" t="s">
        <v>82</v>
      </c>
      <c r="F27" s="3" t="s">
        <v>81</v>
      </c>
      <c r="G27" s="3" t="s">
        <v>31</v>
      </c>
      <c r="H27" s="3" t="s">
        <v>83</v>
      </c>
      <c r="I27" s="3">
        <v>7</v>
      </c>
      <c r="J27" s="3">
        <v>8001</v>
      </c>
      <c r="K27" s="3" t="s">
        <v>33</v>
      </c>
      <c r="L27" s="3" t="s">
        <v>34</v>
      </c>
      <c r="M27" s="3"/>
      <c r="N27" s="3" t="s">
        <v>53</v>
      </c>
      <c r="O27" s="3" t="s">
        <v>36</v>
      </c>
      <c r="P27" s="3" t="s">
        <v>185</v>
      </c>
      <c r="Q27" s="3" t="s">
        <v>189</v>
      </c>
      <c r="R27" s="4">
        <v>25</v>
      </c>
      <c r="S27" s="3" t="s">
        <v>36</v>
      </c>
      <c r="T27" s="4">
        <v>10</v>
      </c>
      <c r="U27" s="3" t="s">
        <v>36</v>
      </c>
      <c r="V27" s="4">
        <v>10</v>
      </c>
      <c r="W27" s="3" t="s">
        <v>37</v>
      </c>
      <c r="X27" s="4">
        <v>5</v>
      </c>
      <c r="Y27" s="3" t="s">
        <v>37</v>
      </c>
      <c r="Z27" s="4">
        <v>10</v>
      </c>
      <c r="AA27" s="3" t="s">
        <v>37</v>
      </c>
      <c r="AB27" s="4">
        <v>10</v>
      </c>
      <c r="AC27" t="str">
        <f>_xlfn.TEXTJOIN(",",,"INSERT INTO assetList VALUES (",A27,B27,C27,F27,E27,G27,H27,I27,J27,K27,L27,N27,P27,Q27,R27,S27,T27,U27,V27,W27,X27,Y27,Z27,AA27,AB27,")")</f>
        <v>INSERT INTO assetList VALUES (,100013,Hotel,Hotel Rösli,8.54443,47.36924,3*,Rösligasse,7,8001,Zürich,Switzerland,DoubleStandard,2021-06-10 14:00:00.000000,2021-06-11 12:00:00.000000,25,true,10,true,10,false,5,false,10,false,10,)</v>
      </c>
    </row>
    <row r="28" spans="1:29" ht="17" customHeight="1" x14ac:dyDescent="0.2">
      <c r="A28" s="3">
        <v>100020</v>
      </c>
      <c r="B28" s="3" t="s">
        <v>27</v>
      </c>
      <c r="C28" s="3" t="s">
        <v>108</v>
      </c>
      <c r="D28" s="5">
        <v>86.278682313917272</v>
      </c>
      <c r="E28" s="3" t="s">
        <v>110</v>
      </c>
      <c r="F28" s="3" t="s">
        <v>109</v>
      </c>
      <c r="G28" s="3" t="s">
        <v>31</v>
      </c>
      <c r="H28" s="3" t="s">
        <v>41</v>
      </c>
      <c r="I28" s="3">
        <v>13</v>
      </c>
      <c r="J28" s="3">
        <v>8001</v>
      </c>
      <c r="K28" s="3" t="s">
        <v>33</v>
      </c>
      <c r="L28" s="3" t="s">
        <v>34</v>
      </c>
      <c r="M28" s="3"/>
      <c r="N28" s="3" t="s">
        <v>103</v>
      </c>
      <c r="O28" s="3" t="s">
        <v>36</v>
      </c>
      <c r="P28" s="3" t="s">
        <v>272</v>
      </c>
      <c r="Q28" s="3" t="s">
        <v>273</v>
      </c>
      <c r="R28" s="4">
        <v>27</v>
      </c>
      <c r="S28" s="3" t="s">
        <v>36</v>
      </c>
      <c r="T28" s="4">
        <v>10</v>
      </c>
      <c r="U28" s="3" t="s">
        <v>36</v>
      </c>
      <c r="V28" s="4">
        <v>10</v>
      </c>
      <c r="W28" s="3" t="s">
        <v>36</v>
      </c>
      <c r="X28" s="4">
        <v>5</v>
      </c>
      <c r="Y28" s="3" t="s">
        <v>37</v>
      </c>
      <c r="Z28" s="4">
        <v>10</v>
      </c>
      <c r="AA28" s="3" t="s">
        <v>37</v>
      </c>
      <c r="AB28" s="4">
        <v>10</v>
      </c>
      <c r="AC28" t="str">
        <f>_xlfn.TEXTJOIN(",",,"INSERT INTO assetList VALUES (",A28,B28,C28,F28,E28,G28,H28,I28,J28,K28,L28,N28,P28,Q28,R28,S28,T28,U28,V28,W28,X28,Y28,Z28,AA28,AB28,")")</f>
        <v>INSERT INTO assetList VALUES (,100020,Hotel,Hotel Hirschen,8.54367,47.3734,3*,Niederdorfstrasse,13,8001,Zürich,Switzerland,DoubleBusiness,2021-06-11 14:00:00.000000,2021-06-12 17:00:00.000000,27,true,10,true,10,true,5,false,10,false,10,)</v>
      </c>
    </row>
    <row r="29" spans="1:29" ht="17" customHeight="1" x14ac:dyDescent="0.2">
      <c r="A29" s="3" t="s">
        <v>194</v>
      </c>
      <c r="B29" s="3" t="s">
        <v>27</v>
      </c>
      <c r="C29" s="3" t="s">
        <v>38</v>
      </c>
      <c r="D29" s="5">
        <v>86.282572528883207</v>
      </c>
      <c r="E29" s="3" t="s">
        <v>40</v>
      </c>
      <c r="F29" s="3" t="s">
        <v>39</v>
      </c>
      <c r="G29" s="3" t="s">
        <v>31</v>
      </c>
      <c r="H29" s="3" t="s">
        <v>41</v>
      </c>
      <c r="I29" s="3">
        <v>17</v>
      </c>
      <c r="J29" s="3">
        <v>8001</v>
      </c>
      <c r="K29" s="3" t="s">
        <v>33</v>
      </c>
      <c r="L29" s="3" t="s">
        <v>34</v>
      </c>
      <c r="M29" s="3"/>
      <c r="N29" s="3" t="s">
        <v>35</v>
      </c>
      <c r="O29" s="3" t="s">
        <v>36</v>
      </c>
      <c r="P29" s="3" t="s">
        <v>183</v>
      </c>
      <c r="Q29" s="3" t="s">
        <v>189</v>
      </c>
      <c r="R29" s="4">
        <v>20</v>
      </c>
      <c r="S29" s="3" t="s">
        <v>36</v>
      </c>
      <c r="T29" s="4">
        <v>10</v>
      </c>
      <c r="U29" s="3" t="s">
        <v>36</v>
      </c>
      <c r="V29" s="4">
        <v>10</v>
      </c>
      <c r="W29" s="3" t="s">
        <v>36</v>
      </c>
      <c r="X29" s="4">
        <v>5</v>
      </c>
      <c r="Y29" s="3" t="s">
        <v>37</v>
      </c>
      <c r="Z29" s="4">
        <v>10</v>
      </c>
      <c r="AA29" s="3" t="s">
        <v>37</v>
      </c>
      <c r="AB29" s="4">
        <v>10</v>
      </c>
      <c r="AC29" t="str">
        <f>_xlfn.TEXTJOIN(",",,"INSERT INTO assetList VALUES (",A29,B29,C29,F29,E29,G29,H29,I29,J29,K29,L29,N29,P29,Q29,R29,S29,T29,U29,V29,W29,X29,Y29,Z29,AA29,AB29,")")</f>
        <v>INSERT INTO assetList VALUES (,100002.1,Hotel,Hotel Old Town,8.54368,47.37362,3*,Niederdorfstrasse,17,8001,Zürich,Switzerland,SingleStandard,2021-06-10 13:00:00.000000,2021-06-11 12:00:00.000000,20,true,10,true,10,true,5,false,10,false,10,)</v>
      </c>
    </row>
    <row r="30" spans="1:29" ht="17" customHeight="1" x14ac:dyDescent="0.2">
      <c r="A30" s="3" t="s">
        <v>197</v>
      </c>
      <c r="B30" s="3" t="s">
        <v>27</v>
      </c>
      <c r="C30" s="3" t="s">
        <v>38</v>
      </c>
      <c r="D30" s="5">
        <v>86.282572528883207</v>
      </c>
      <c r="E30" s="3" t="s">
        <v>40</v>
      </c>
      <c r="F30" s="3" t="s">
        <v>39</v>
      </c>
      <c r="G30" s="3" t="s">
        <v>31</v>
      </c>
      <c r="H30" s="3" t="s">
        <v>41</v>
      </c>
      <c r="I30" s="3">
        <v>17</v>
      </c>
      <c r="J30" s="3">
        <v>8001</v>
      </c>
      <c r="K30" s="3" t="s">
        <v>33</v>
      </c>
      <c r="L30" s="3" t="s">
        <v>34</v>
      </c>
      <c r="M30" s="3"/>
      <c r="N30" s="3" t="s">
        <v>53</v>
      </c>
      <c r="O30" s="3" t="s">
        <v>36</v>
      </c>
      <c r="P30" s="3" t="s">
        <v>183</v>
      </c>
      <c r="Q30" s="3" t="s">
        <v>189</v>
      </c>
      <c r="R30" s="4">
        <v>25</v>
      </c>
      <c r="S30" s="3" t="s">
        <v>36</v>
      </c>
      <c r="T30" s="4">
        <v>10</v>
      </c>
      <c r="U30" s="3" t="s">
        <v>36</v>
      </c>
      <c r="V30" s="4">
        <v>10</v>
      </c>
      <c r="W30" s="3" t="s">
        <v>36</v>
      </c>
      <c r="X30" s="4">
        <v>5</v>
      </c>
      <c r="Y30" s="3" t="s">
        <v>37</v>
      </c>
      <c r="Z30" s="4">
        <v>10</v>
      </c>
      <c r="AA30" s="3" t="s">
        <v>37</v>
      </c>
      <c r="AB30" s="4">
        <v>10</v>
      </c>
      <c r="AC30" t="str">
        <f>_xlfn.TEXTJOIN(",",,"INSERT INTO assetList VALUES (",A30,B30,C30,F30,E30,G30,H30,I30,J30,K30,L30,N30,P30,Q30,R30,S30,T30,U30,V30,W30,X30,Y30,Z30,AA30,AB30,")")</f>
        <v>INSERT INTO assetList VALUES (,100002.2,Hotel,Hotel Old Town,8.54368,47.37362,3*,Niederdorfstrasse,17,8001,Zürich,Switzerland,DoubleStandard,2021-06-10 13:00:00.000000,2021-06-11 12:00:00.000000,25,true,10,true,10,true,5,false,10,false,10,)</v>
      </c>
    </row>
    <row r="31" spans="1:29" ht="17" customHeight="1" x14ac:dyDescent="0.2">
      <c r="A31" s="3" t="s">
        <v>198</v>
      </c>
      <c r="B31" s="3" t="s">
        <v>27</v>
      </c>
      <c r="C31" s="3" t="s">
        <v>38</v>
      </c>
      <c r="D31" s="5">
        <v>86.282572528883207</v>
      </c>
      <c r="E31" s="3" t="s">
        <v>40</v>
      </c>
      <c r="F31" s="3" t="s">
        <v>39</v>
      </c>
      <c r="G31" s="3" t="s">
        <v>31</v>
      </c>
      <c r="H31" s="3" t="s">
        <v>41</v>
      </c>
      <c r="I31" s="3">
        <v>17</v>
      </c>
      <c r="J31" s="3">
        <v>8001</v>
      </c>
      <c r="K31" s="3" t="s">
        <v>33</v>
      </c>
      <c r="L31" s="3" t="s">
        <v>34</v>
      </c>
      <c r="M31" s="3"/>
      <c r="N31" s="3" t="s">
        <v>180</v>
      </c>
      <c r="O31" s="3" t="s">
        <v>36</v>
      </c>
      <c r="P31" s="3" t="s">
        <v>183</v>
      </c>
      <c r="Q31" s="3" t="s">
        <v>189</v>
      </c>
      <c r="R31" s="4">
        <v>28</v>
      </c>
      <c r="S31" s="3" t="s">
        <v>36</v>
      </c>
      <c r="T31" s="4">
        <v>10</v>
      </c>
      <c r="U31" s="3" t="s">
        <v>36</v>
      </c>
      <c r="V31" s="4">
        <v>10</v>
      </c>
      <c r="W31" s="3" t="s">
        <v>36</v>
      </c>
      <c r="X31" s="4">
        <v>5</v>
      </c>
      <c r="Y31" s="3" t="s">
        <v>36</v>
      </c>
      <c r="Z31" s="4">
        <v>10</v>
      </c>
      <c r="AA31" s="3" t="s">
        <v>37</v>
      </c>
      <c r="AB31" s="4">
        <v>10</v>
      </c>
      <c r="AC31" t="str">
        <f>_xlfn.TEXTJOIN(",",,"INSERT INTO assetList VALUES (",A31,B31,C31,F31,E31,G31,H31,I31,J31,K31,L31,N31,P31,Q31,R31,S31,T31,U31,V31,W31,X31,Y31,Z31,AA31,AB31,")")</f>
        <v>INSERT INTO assetList VALUES (,100002.3,Hotel,Hotel Old Town,8.54368,47.37362,3*,Niederdorfstrasse,17,8001,Zürich,Switzerland,"DoubleSuperior",2021-06-10 13:00:00.000000,2021-06-11 12:00:00.000000,28,true,10,true,10,true,5,true,10,false,10,)</v>
      </c>
    </row>
    <row r="32" spans="1:29" ht="17" customHeight="1" x14ac:dyDescent="0.2">
      <c r="A32" s="3" t="s">
        <v>199</v>
      </c>
      <c r="B32" s="3" t="s">
        <v>27</v>
      </c>
      <c r="C32" s="3" t="s">
        <v>38</v>
      </c>
      <c r="D32" s="5">
        <v>86.282572528883207</v>
      </c>
      <c r="E32" s="3" t="s">
        <v>40</v>
      </c>
      <c r="F32" s="3" t="s">
        <v>39</v>
      </c>
      <c r="G32" s="3" t="s">
        <v>31</v>
      </c>
      <c r="H32" s="3" t="s">
        <v>41</v>
      </c>
      <c r="I32" s="3">
        <v>17</v>
      </c>
      <c r="J32" s="3">
        <v>8001</v>
      </c>
      <c r="K32" s="3" t="s">
        <v>33</v>
      </c>
      <c r="L32" s="3" t="s">
        <v>34</v>
      </c>
      <c r="M32" s="3"/>
      <c r="N32" s="3" t="s">
        <v>174</v>
      </c>
      <c r="O32" s="3" t="s">
        <v>36</v>
      </c>
      <c r="P32" s="3" t="s">
        <v>183</v>
      </c>
      <c r="Q32" s="3" t="s">
        <v>189</v>
      </c>
      <c r="R32" s="4">
        <v>24</v>
      </c>
      <c r="S32" s="3" t="s">
        <v>36</v>
      </c>
      <c r="T32" s="4">
        <v>10</v>
      </c>
      <c r="U32" s="3" t="s">
        <v>36</v>
      </c>
      <c r="V32" s="4">
        <v>10</v>
      </c>
      <c r="W32" s="3" t="s">
        <v>36</v>
      </c>
      <c r="X32" s="4">
        <v>5</v>
      </c>
      <c r="Y32" s="3" t="s">
        <v>36</v>
      </c>
      <c r="Z32" s="4">
        <v>10</v>
      </c>
      <c r="AA32" s="3" t="s">
        <v>37</v>
      </c>
      <c r="AB32" s="4">
        <v>10</v>
      </c>
      <c r="AC32" t="str">
        <f>_xlfn.TEXTJOIN(",",,"INSERT INTO assetList VALUES (",A32,B32,C32,F32,E32,G32,H32,I32,J32,K32,L32,N32,P32,Q32,R32,S32,T32,U32,V32,W32,X32,Y32,Z32,AA32,AB32,")")</f>
        <v>INSERT INTO assetList VALUES (,100002.4,Hotel,Hotel Old Town,8.54368,47.37362,3*,Niederdorfstrasse,17,8001,Zürich,Switzerland,"SingelBusiness",2021-06-10 13:00:00.000000,2021-06-11 12:00:00.000000,24,true,10,true,10,true,5,true,10,false,10,)</v>
      </c>
    </row>
    <row r="33" spans="1:39" ht="17" customHeight="1" x14ac:dyDescent="0.2">
      <c r="A33" s="3">
        <v>100018</v>
      </c>
      <c r="B33" s="3" t="s">
        <v>27</v>
      </c>
      <c r="C33" s="3" t="s">
        <v>99</v>
      </c>
      <c r="D33" s="5">
        <v>86.282941705731588</v>
      </c>
      <c r="E33" s="3" t="s">
        <v>101</v>
      </c>
      <c r="F33" s="3" t="s">
        <v>100</v>
      </c>
      <c r="G33" s="3" t="s">
        <v>31</v>
      </c>
      <c r="H33" s="3" t="s">
        <v>102</v>
      </c>
      <c r="I33" s="3">
        <v>18</v>
      </c>
      <c r="J33" s="3">
        <v>8001</v>
      </c>
      <c r="K33" s="3" t="s">
        <v>33</v>
      </c>
      <c r="L33" s="3" t="s">
        <v>34</v>
      </c>
      <c r="M33" s="3"/>
      <c r="N33" s="3" t="s">
        <v>103</v>
      </c>
      <c r="O33" s="3" t="s">
        <v>36</v>
      </c>
      <c r="P33" s="3" t="s">
        <v>272</v>
      </c>
      <c r="Q33" s="3" t="s">
        <v>273</v>
      </c>
      <c r="R33" s="4">
        <v>27</v>
      </c>
      <c r="S33" s="3" t="s">
        <v>36</v>
      </c>
      <c r="T33" s="4">
        <v>10</v>
      </c>
      <c r="U33" s="3" t="s">
        <v>36</v>
      </c>
      <c r="V33" s="4">
        <v>10</v>
      </c>
      <c r="W33" s="3" t="s">
        <v>36</v>
      </c>
      <c r="X33" s="4">
        <v>5</v>
      </c>
      <c r="Y33" s="3" t="s">
        <v>37</v>
      </c>
      <c r="Z33" s="4">
        <v>10</v>
      </c>
      <c r="AA33" s="3" t="s">
        <v>37</v>
      </c>
      <c r="AB33" s="4">
        <v>10</v>
      </c>
      <c r="AC33" t="str">
        <f>_xlfn.TEXTJOIN(",",,"INSERT INTO assetList VALUES (",A33,B33,C33,F33,E33,G33,H33,I33,J33,K33,L33,N33,P33,Q33,R33,S33,T33,U33,V33,W33,X33,Y33,Z33,AA33,AB33,")")</f>
        <v>INSERT INTO assetList VALUES (,100018,Hotel,Hotel California,8.5446,47.36872,3*,Schifflände,18,8001,Zürich,Switzerland,DoubleBusiness,2021-06-11 14:00:00.000000,2021-06-12 17:00:00.000000,27,true,10,true,10,true,5,false,10,false,10,)</v>
      </c>
    </row>
    <row r="34" spans="1:39" ht="17" customHeight="1" x14ac:dyDescent="0.2">
      <c r="A34" s="3">
        <v>100029</v>
      </c>
      <c r="B34" s="3" t="s">
        <v>27</v>
      </c>
      <c r="C34" s="3" t="s">
        <v>144</v>
      </c>
      <c r="D34" s="5">
        <v>86.293255801679649</v>
      </c>
      <c r="E34" s="3" t="s">
        <v>146</v>
      </c>
      <c r="F34" s="3" t="s">
        <v>145</v>
      </c>
      <c r="G34" s="3" t="s">
        <v>124</v>
      </c>
      <c r="H34" s="3" t="s">
        <v>41</v>
      </c>
      <c r="I34" s="3">
        <v>10</v>
      </c>
      <c r="J34" s="3">
        <v>8001</v>
      </c>
      <c r="K34" s="3" t="s">
        <v>33</v>
      </c>
      <c r="L34" s="3" t="s">
        <v>34</v>
      </c>
      <c r="M34" s="3"/>
      <c r="N34" s="3" t="s">
        <v>143</v>
      </c>
      <c r="O34" s="3" t="s">
        <v>36</v>
      </c>
      <c r="P34" s="3" t="s">
        <v>188</v>
      </c>
      <c r="Q34" s="3" t="s">
        <v>190</v>
      </c>
      <c r="R34" s="4">
        <v>34</v>
      </c>
      <c r="S34" s="3" t="s">
        <v>36</v>
      </c>
      <c r="T34" s="4">
        <v>15</v>
      </c>
      <c r="U34" s="3" t="s">
        <v>36</v>
      </c>
      <c r="V34" s="4">
        <v>15</v>
      </c>
      <c r="W34" s="3" t="s">
        <v>37</v>
      </c>
      <c r="X34" s="4">
        <v>8</v>
      </c>
      <c r="Y34" s="3" t="s">
        <v>36</v>
      </c>
      <c r="Z34" s="4">
        <v>10</v>
      </c>
      <c r="AA34" s="3" t="s">
        <v>36</v>
      </c>
      <c r="AB34" s="4">
        <v>10</v>
      </c>
      <c r="AC34" t="str">
        <f>_xlfn.TEXTJOIN(",",,"INSERT INTO assetList VALUES (",A34,B34,C34,F34,E34,G34,H34,I34,J34,K34,L34,N34,P34,Q34,R34,S34,T34,U34,V34,W34,X34,Y34,Z34,AA34,AB34,")")</f>
        <v>INSERT INTO assetList VALUES (,100029,Hotel,Hotel Wellenberg,8.54393,47.37306,4*,Niederdorfstrasse,10,8001,Zürich,Switzerland,DoubleSuperior,2021-06-10 16:00:00.000000,2021-08-19 15:00:00.000000,34,true,15,true,15,false,8,true,10,true,10,)</v>
      </c>
    </row>
    <row r="35" spans="1:39" ht="17" customHeight="1" x14ac:dyDescent="0.2">
      <c r="A35" s="3">
        <v>100012</v>
      </c>
      <c r="B35" s="3" t="s">
        <v>27</v>
      </c>
      <c r="C35" s="3" t="s">
        <v>76</v>
      </c>
      <c r="D35" s="5">
        <v>86.30504007291151</v>
      </c>
      <c r="E35" s="3" t="s">
        <v>78</v>
      </c>
      <c r="F35" s="3" t="s">
        <v>77</v>
      </c>
      <c r="G35" s="3" t="s">
        <v>31</v>
      </c>
      <c r="H35" s="3" t="s">
        <v>79</v>
      </c>
      <c r="I35" s="3">
        <v>3</v>
      </c>
      <c r="J35" s="3">
        <v>8001</v>
      </c>
      <c r="K35" s="3" t="s">
        <v>33</v>
      </c>
      <c r="L35" s="3" t="s">
        <v>34</v>
      </c>
      <c r="M35" s="3"/>
      <c r="N35" s="3" t="s">
        <v>53</v>
      </c>
      <c r="O35" s="3" t="s">
        <v>36</v>
      </c>
      <c r="P35" s="3" t="s">
        <v>185</v>
      </c>
      <c r="Q35" s="3" t="s">
        <v>189</v>
      </c>
      <c r="R35" s="4">
        <v>25</v>
      </c>
      <c r="S35" s="3" t="s">
        <v>36</v>
      </c>
      <c r="T35" s="4">
        <v>10</v>
      </c>
      <c r="U35" s="3" t="s">
        <v>36</v>
      </c>
      <c r="V35" s="4">
        <v>10</v>
      </c>
      <c r="W35" s="3" t="s">
        <v>37</v>
      </c>
      <c r="X35" s="4">
        <v>5</v>
      </c>
      <c r="Y35" s="3" t="s">
        <v>37</v>
      </c>
      <c r="Z35" s="4">
        <v>10</v>
      </c>
      <c r="AA35" s="3" t="s">
        <v>37</v>
      </c>
      <c r="AB35" s="4">
        <v>10</v>
      </c>
      <c r="AC35" t="str">
        <f>_xlfn.TEXTJOIN(",",,"INSERT INTO assetList VALUES (",A35,B35,C35,F35,E35,G35,H35,I35,J35,K35,L35,N35,P35,Q35,R35,S35,T35,U35,V35,W35,X35,Y35,Z35,AA35,AB35,")")</f>
        <v>INSERT INTO assetList VALUES (,100012,Hotel,Hotel Platzhirsch,8.544,47.37352,3*,Spitalgasse,3,8001,Zürich,Switzerland,DoubleStandard,2021-06-10 14:00:00.000000,2021-06-11 12:00:00.000000,25,true,10,true,10,false,5,false,10,false,10,)</v>
      </c>
    </row>
    <row r="36" spans="1:39" ht="17" customHeight="1" x14ac:dyDescent="0.2">
      <c r="A36" s="3" t="s">
        <v>243</v>
      </c>
      <c r="B36" s="3" t="s">
        <v>27</v>
      </c>
      <c r="C36" s="3" t="s">
        <v>50</v>
      </c>
      <c r="D36" s="5">
        <v>86.312506447741114</v>
      </c>
      <c r="E36" s="3" t="s">
        <v>52</v>
      </c>
      <c r="F36" s="3" t="s">
        <v>51</v>
      </c>
      <c r="G36" s="3" t="s">
        <v>31</v>
      </c>
      <c r="H36" s="3" t="s">
        <v>41</v>
      </c>
      <c r="I36" s="3">
        <v>40</v>
      </c>
      <c r="J36" s="3">
        <v>8001</v>
      </c>
      <c r="K36" s="3" t="s">
        <v>33</v>
      </c>
      <c r="L36" s="3" t="s">
        <v>34</v>
      </c>
      <c r="M36" s="3"/>
      <c r="N36" s="3" t="s">
        <v>53</v>
      </c>
      <c r="O36" s="3" t="s">
        <v>36</v>
      </c>
      <c r="P36" s="3" t="s">
        <v>183</v>
      </c>
      <c r="Q36" s="3" t="s">
        <v>189</v>
      </c>
      <c r="R36" s="4">
        <v>23</v>
      </c>
      <c r="S36" s="3" t="s">
        <v>36</v>
      </c>
      <c r="T36" s="4">
        <v>10</v>
      </c>
      <c r="U36" s="3" t="s">
        <v>36</v>
      </c>
      <c r="V36" s="4">
        <v>10</v>
      </c>
      <c r="W36" s="3" t="s">
        <v>36</v>
      </c>
      <c r="X36" s="4">
        <v>5</v>
      </c>
      <c r="Y36" s="3" t="s">
        <v>37</v>
      </c>
      <c r="Z36" s="4">
        <v>10</v>
      </c>
      <c r="AA36" s="3" t="s">
        <v>36</v>
      </c>
      <c r="AB36" s="4">
        <v>10</v>
      </c>
      <c r="AC36" t="str">
        <f>_xlfn.TEXTJOIN(",",,"INSERT INTO assetList VALUES (",A36,B36,C36,F36,E36,G36,H36,I36,J36,K36,L36,N36,P36,Q36,R36,S36,T36,U36,V36,W36,X36,Y36,Z36,AA36,AB36,")")</f>
        <v>INSERT INTO assetList VALUES (,100005,Hotel,Hotel Alexander,8.5439,47.37456,3*,Niederdorfstrasse,40,8001,Zürich,Switzerland,DoubleStandard,2021-06-10 13:00:00.000000,2021-06-11 12:00:00.000000,23,true,10,true,10,true,5,false,10,true,10,)</v>
      </c>
    </row>
    <row r="37" spans="1:39" ht="17" customHeight="1" x14ac:dyDescent="0.2">
      <c r="A37" s="3">
        <v>100025</v>
      </c>
      <c r="B37" s="3" t="s">
        <v>27</v>
      </c>
      <c r="C37" s="3" t="s">
        <v>130</v>
      </c>
      <c r="D37" s="5">
        <v>86.326196779544929</v>
      </c>
      <c r="E37" s="3" t="s">
        <v>132</v>
      </c>
      <c r="F37" s="3" t="s">
        <v>131</v>
      </c>
      <c r="G37" s="3" t="s">
        <v>124</v>
      </c>
      <c r="H37" s="3" t="s">
        <v>133</v>
      </c>
      <c r="I37" s="3">
        <v>1</v>
      </c>
      <c r="J37" s="3">
        <v>8001</v>
      </c>
      <c r="K37" s="3" t="s">
        <v>33</v>
      </c>
      <c r="L37" s="3" t="s">
        <v>34</v>
      </c>
      <c r="M37" s="3"/>
      <c r="N37" s="3" t="s">
        <v>53</v>
      </c>
      <c r="O37" s="3" t="s">
        <v>36</v>
      </c>
      <c r="P37" s="3" t="s">
        <v>187</v>
      </c>
      <c r="Q37" s="3" t="s">
        <v>190</v>
      </c>
      <c r="R37" s="4">
        <v>32</v>
      </c>
      <c r="S37" s="3" t="s">
        <v>36</v>
      </c>
      <c r="T37" s="4">
        <v>15</v>
      </c>
      <c r="U37" s="3" t="s">
        <v>36</v>
      </c>
      <c r="V37" s="4">
        <v>15</v>
      </c>
      <c r="W37" s="3" t="s">
        <v>37</v>
      </c>
      <c r="X37" s="4">
        <v>8</v>
      </c>
      <c r="Y37" s="3" t="s">
        <v>36</v>
      </c>
      <c r="Z37" s="4">
        <v>10</v>
      </c>
      <c r="AA37" s="3" t="s">
        <v>36</v>
      </c>
      <c r="AB37" s="4">
        <v>10</v>
      </c>
      <c r="AC37" t="str">
        <f>_xlfn.TEXTJOIN(",",,"INSERT INTO assetList VALUES (",A37,B37,C37,F37,E37,G37,H37,I37,J37,K37,L37,N37,P37,Q37,R37,S37,T37,U37,V37,W37,X37,Y37,Z37,AA37,AB37,")")</f>
        <v>INSERT INTO assetList VALUES (,100025,Hotel,Hotel Central Plaza,8.5436,47.37703,4*,Central,1,8001,Zürich,Switzerland,DoubleStandard,2021-06-10 15:00:00.000000,2021-08-19 15:00:00.000000,32,true,15,true,15,false,8,true,10,true,10,)</v>
      </c>
    </row>
    <row r="38" spans="1:39" ht="17" customHeight="1" x14ac:dyDescent="0.2">
      <c r="A38" s="3">
        <v>100019</v>
      </c>
      <c r="B38" s="3" t="s">
        <v>27</v>
      </c>
      <c r="C38" s="3" t="s">
        <v>104</v>
      </c>
      <c r="D38" s="5">
        <v>86.357514172187109</v>
      </c>
      <c r="E38" s="3" t="s">
        <v>106</v>
      </c>
      <c r="F38" s="3" t="s">
        <v>105</v>
      </c>
      <c r="G38" s="3" t="s">
        <v>31</v>
      </c>
      <c r="H38" s="3" t="s">
        <v>107</v>
      </c>
      <c r="I38" s="3">
        <v>34</v>
      </c>
      <c r="J38" s="3">
        <v>8006</v>
      </c>
      <c r="K38" s="3" t="s">
        <v>33</v>
      </c>
      <c r="L38" s="3" t="s">
        <v>34</v>
      </c>
      <c r="M38" s="3"/>
      <c r="N38" s="3" t="s">
        <v>103</v>
      </c>
      <c r="O38" s="3" t="s">
        <v>36</v>
      </c>
      <c r="P38" s="3" t="s">
        <v>272</v>
      </c>
      <c r="Q38" s="3" t="s">
        <v>273</v>
      </c>
      <c r="R38" s="4">
        <v>27</v>
      </c>
      <c r="S38" s="3" t="s">
        <v>36</v>
      </c>
      <c r="T38" s="4">
        <v>10</v>
      </c>
      <c r="U38" s="3" t="s">
        <v>36</v>
      </c>
      <c r="V38" s="4">
        <v>10</v>
      </c>
      <c r="W38" s="3" t="s">
        <v>36</v>
      </c>
      <c r="X38" s="4">
        <v>5</v>
      </c>
      <c r="Y38" s="3" t="s">
        <v>37</v>
      </c>
      <c r="Z38" s="4">
        <v>10</v>
      </c>
      <c r="AA38" s="3" t="s">
        <v>37</v>
      </c>
      <c r="AB38" s="4">
        <v>10</v>
      </c>
      <c r="AC38" t="str">
        <f>_xlfn.TEXTJOIN(",",,"INSERT INTO assetList VALUES (",A38,B38,C38,F38,E38,G38,H38,I38,J38,K38,L38,N38,P38,Q38,R38,S38,T38,U38,V38,W38,X38,Y38,Z38,AA38,AB38,")")</f>
        <v>INSERT INTO assetList VALUES (,100019,Hotel,Hotel Garni Bristol ,8.54349,47.37967,3*,Stampfenbachstrasse,34,8006,Zürich,Switzerland,DoubleBusiness,2021-06-11 14:00:00.000000,2021-06-12 17:00:00.000000,27,true,10,true,10,true,5,false,10,false,10,)</v>
      </c>
    </row>
    <row r="39" spans="1:39" ht="17" customHeight="1" x14ac:dyDescent="0.2">
      <c r="A39" s="3">
        <v>100017</v>
      </c>
      <c r="B39" s="3" t="s">
        <v>27</v>
      </c>
      <c r="C39" s="3" t="s">
        <v>96</v>
      </c>
      <c r="D39" s="5">
        <v>86.360858961509138</v>
      </c>
      <c r="E39" s="3" t="s">
        <v>98</v>
      </c>
      <c r="F39" s="3" t="s">
        <v>97</v>
      </c>
      <c r="G39" s="3" t="s">
        <v>31</v>
      </c>
      <c r="H39" s="3" t="s">
        <v>49</v>
      </c>
      <c r="I39" s="3">
        <v>21</v>
      </c>
      <c r="J39" s="3">
        <v>8001</v>
      </c>
      <c r="K39" s="3" t="s">
        <v>33</v>
      </c>
      <c r="L39" s="3" t="s">
        <v>34</v>
      </c>
      <c r="M39" s="3"/>
      <c r="N39" s="3" t="s">
        <v>53</v>
      </c>
      <c r="O39" s="3" t="s">
        <v>36</v>
      </c>
      <c r="P39" s="3" t="s">
        <v>272</v>
      </c>
      <c r="Q39" s="3" t="s">
        <v>273</v>
      </c>
      <c r="R39" s="4">
        <v>25</v>
      </c>
      <c r="S39" s="3" t="s">
        <v>36</v>
      </c>
      <c r="T39" s="4">
        <v>10</v>
      </c>
      <c r="U39" s="3" t="s">
        <v>36</v>
      </c>
      <c r="V39" s="4">
        <v>10</v>
      </c>
      <c r="W39" s="3" t="s">
        <v>36</v>
      </c>
      <c r="X39" s="4">
        <v>5</v>
      </c>
      <c r="Y39" s="3" t="s">
        <v>37</v>
      </c>
      <c r="Z39" s="4">
        <v>10</v>
      </c>
      <c r="AA39" s="3" t="s">
        <v>37</v>
      </c>
      <c r="AB39" s="4">
        <v>10</v>
      </c>
      <c r="AC39" t="str">
        <f>_xlfn.TEXTJOIN(",",,"INSERT INTO assetList VALUES (",A39,B39,C39,F39,E39,G39,H39,I39,J39,K39,L39,N39,P39,Q39,R39,S39,T39,U39,V39,W39,X39,Y39,Z39,AA39,AB39,")")</f>
        <v>INSERT INTO assetList VALUES (,100017,Hotel,Hotel Zürcherhof Beste Western Plus,8.54433,47.37568,3*,Zähringerstrasse,21,8001,Zürich,Switzerland,DoubleStandard,2021-06-11 14:00:00.000000,2021-06-12 17:00:00.000000,25,true,10,true,10,true,5,false,10,false,10,)</v>
      </c>
    </row>
    <row r="40" spans="1:39" ht="17" customHeight="1" x14ac:dyDescent="0.2">
      <c r="A40" s="3">
        <v>100010</v>
      </c>
      <c r="B40" s="3" t="s">
        <v>27</v>
      </c>
      <c r="C40" s="3" t="s">
        <v>70</v>
      </c>
      <c r="D40" s="5">
        <v>86.36998778057783</v>
      </c>
      <c r="E40" s="3" t="s">
        <v>72</v>
      </c>
      <c r="F40" s="3" t="s">
        <v>71</v>
      </c>
      <c r="G40" s="3" t="s">
        <v>31</v>
      </c>
      <c r="H40" s="3" t="s">
        <v>49</v>
      </c>
      <c r="I40" s="3">
        <v>25</v>
      </c>
      <c r="J40" s="3">
        <v>8001</v>
      </c>
      <c r="K40" s="3" t="s">
        <v>33</v>
      </c>
      <c r="L40" s="3" t="s">
        <v>34</v>
      </c>
      <c r="M40" s="3"/>
      <c r="N40" s="3" t="s">
        <v>53</v>
      </c>
      <c r="O40" s="3" t="s">
        <v>36</v>
      </c>
      <c r="P40" s="3" t="s">
        <v>184</v>
      </c>
      <c r="Q40" s="3" t="s">
        <v>189</v>
      </c>
      <c r="R40" s="4">
        <v>25</v>
      </c>
      <c r="S40" s="3" t="s">
        <v>36</v>
      </c>
      <c r="T40" s="4">
        <v>10</v>
      </c>
      <c r="U40" s="3" t="s">
        <v>36</v>
      </c>
      <c r="V40" s="4">
        <v>10</v>
      </c>
      <c r="W40" s="3" t="s">
        <v>37</v>
      </c>
      <c r="X40" s="4">
        <v>5</v>
      </c>
      <c r="Y40" s="3" t="s">
        <v>37</v>
      </c>
      <c r="Z40" s="4">
        <v>10</v>
      </c>
      <c r="AA40" s="3" t="s">
        <v>36</v>
      </c>
      <c r="AB40" s="4">
        <v>10</v>
      </c>
      <c r="AC40" t="str">
        <f>_xlfn.TEXTJOIN(",",,"INSERT INTO assetList VALUES (",A40,B40,C40,F40,E40,G40,H40,I40,J40,K40,L40,N40,P40,Q40,R40,S40,T40,U40,V40,W40,X40,Y40,Z40,AA40,AB40,")")</f>
        <v>INSERT INTO assetList VALUES (,100010,Hotel,Hotel Felix Zürich,8.54454,47.37523,3*,Zähringerstrasse,25,8001,Zürich,Switzerland,DoubleStandard,2021-06-10 13:30:00.000000,2021-06-11 12:00:00.000000,25,true,10,true,10,false,5,false,10,true,10,)</v>
      </c>
    </row>
    <row r="41" spans="1:39" ht="17" customHeight="1" x14ac:dyDescent="0.2">
      <c r="A41" s="3" t="s">
        <v>196</v>
      </c>
      <c r="B41" s="3" t="s">
        <v>27</v>
      </c>
      <c r="C41" s="3" t="s">
        <v>46</v>
      </c>
      <c r="D41" s="5">
        <v>86.37981869361758</v>
      </c>
      <c r="E41" s="3" t="s">
        <v>48</v>
      </c>
      <c r="F41" s="3" t="s">
        <v>47</v>
      </c>
      <c r="G41" s="3" t="s">
        <v>31</v>
      </c>
      <c r="H41" s="3" t="s">
        <v>49</v>
      </c>
      <c r="I41" s="3">
        <v>43</v>
      </c>
      <c r="J41" s="3">
        <v>8001</v>
      </c>
      <c r="K41" s="3" t="s">
        <v>33</v>
      </c>
      <c r="L41" s="3" t="s">
        <v>34</v>
      </c>
      <c r="M41" s="3"/>
      <c r="N41" s="3" t="s">
        <v>35</v>
      </c>
      <c r="O41" s="3" t="s">
        <v>36</v>
      </c>
      <c r="P41" s="3" t="s">
        <v>183</v>
      </c>
      <c r="Q41" s="3" t="s">
        <v>189</v>
      </c>
      <c r="R41" s="4">
        <v>20</v>
      </c>
      <c r="S41" s="3" t="s">
        <v>36</v>
      </c>
      <c r="T41" s="4">
        <v>10</v>
      </c>
      <c r="U41" s="3" t="s">
        <v>36</v>
      </c>
      <c r="V41" s="4">
        <v>10</v>
      </c>
      <c r="W41" s="3" t="s">
        <v>36</v>
      </c>
      <c r="X41" s="4">
        <v>5</v>
      </c>
      <c r="Y41" s="3" t="s">
        <v>37</v>
      </c>
      <c r="Z41" s="4">
        <v>10</v>
      </c>
      <c r="AA41" s="3" t="s">
        <v>36</v>
      </c>
      <c r="AB41" s="4">
        <v>10</v>
      </c>
      <c r="AC41" t="str">
        <f>_xlfn.TEXTJOIN(",",,"INSERT INTO assetList VALUES (",A41,B41,C41,F41,E41,G41,H41,I41,J41,K41,L41,N41,P41,Q41,R41,S41,T41,U41,V41,W41,X41,Y41,Z41,AA41,AB41,")")</f>
        <v>INSERT INTO assetList VALUES (,100004.1,Hotel,Hotel Sorell Rüti,8.54449,47.37616,3*,Zähringerstrasse,43,8001,Zürich,Switzerland,SingleStandard,2021-06-10 13:00:00.000000,2021-06-11 12:00:00.000000,20,true,10,true,10,true,5,false,10,true,10,)</v>
      </c>
    </row>
    <row r="42" spans="1:39" ht="17" customHeight="1" x14ac:dyDescent="0.2">
      <c r="A42" s="3" t="s">
        <v>201</v>
      </c>
      <c r="B42" s="3" t="s">
        <v>27</v>
      </c>
      <c r="C42" s="3" t="s">
        <v>46</v>
      </c>
      <c r="D42" s="5">
        <v>86.37981869361758</v>
      </c>
      <c r="E42" s="3" t="s">
        <v>48</v>
      </c>
      <c r="F42" s="3" t="s">
        <v>47</v>
      </c>
      <c r="G42" s="3" t="s">
        <v>31</v>
      </c>
      <c r="H42" s="3" t="s">
        <v>49</v>
      </c>
      <c r="I42" s="3">
        <v>43</v>
      </c>
      <c r="J42" s="3">
        <v>8001</v>
      </c>
      <c r="K42" s="3" t="s">
        <v>33</v>
      </c>
      <c r="L42" s="3" t="s">
        <v>34</v>
      </c>
      <c r="M42" s="3"/>
      <c r="N42" s="3" t="s">
        <v>103</v>
      </c>
      <c r="O42" s="3" t="s">
        <v>36</v>
      </c>
      <c r="P42" s="3" t="s">
        <v>183</v>
      </c>
      <c r="Q42" s="3" t="s">
        <v>189</v>
      </c>
      <c r="R42" s="4">
        <v>30</v>
      </c>
      <c r="S42" s="3" t="s">
        <v>36</v>
      </c>
      <c r="T42" s="4">
        <v>10</v>
      </c>
      <c r="U42" s="3" t="s">
        <v>36</v>
      </c>
      <c r="V42" s="4">
        <v>10</v>
      </c>
      <c r="W42" s="3" t="s">
        <v>36</v>
      </c>
      <c r="X42" s="4">
        <v>5</v>
      </c>
      <c r="Y42" s="3" t="s">
        <v>37</v>
      </c>
      <c r="Z42" s="4">
        <v>10</v>
      </c>
      <c r="AA42" s="3" t="s">
        <v>36</v>
      </c>
      <c r="AB42" s="4">
        <v>10</v>
      </c>
      <c r="AC42" t="str">
        <f>_xlfn.TEXTJOIN(",",,"INSERT INTO assetList VALUES (",A42,B42,C42,F42,E42,G42,H42,I42,J42,K42,L42,N42,P42,Q42,R42,S42,T42,U42,V42,W42,X42,Y42,Z42,AA42,AB42,")")</f>
        <v>INSERT INTO assetList VALUES (,100004.2,Hotel,Hotel Sorell Rüti,8.54449,47.37616,3*,Zähringerstrasse,43,8001,Zürich,Switzerland,DoubleBusiness,2021-06-10 13:00:00.000000,2021-06-11 12:00:00.000000,30,true,10,true,10,true,5,false,10,true,10,)</v>
      </c>
    </row>
    <row r="43" spans="1:39" ht="17" customHeight="1" x14ac:dyDescent="0.2">
      <c r="A43" s="3" t="s">
        <v>248</v>
      </c>
      <c r="B43" s="3" t="s">
        <v>27</v>
      </c>
      <c r="C43" s="3" t="s">
        <v>134</v>
      </c>
      <c r="D43" s="5">
        <v>86.37981869361758</v>
      </c>
      <c r="E43" s="3" t="s">
        <v>48</v>
      </c>
      <c r="F43" s="3" t="s">
        <v>47</v>
      </c>
      <c r="G43" s="3" t="s">
        <v>124</v>
      </c>
      <c r="H43" s="3" t="s">
        <v>135</v>
      </c>
      <c r="I43" s="3">
        <v>1</v>
      </c>
      <c r="J43" s="3">
        <v>8006</v>
      </c>
      <c r="K43" s="3" t="s">
        <v>33</v>
      </c>
      <c r="L43" s="3" t="s">
        <v>34</v>
      </c>
      <c r="M43" s="3"/>
      <c r="N43" s="3" t="s">
        <v>35</v>
      </c>
      <c r="O43" s="3" t="s">
        <v>36</v>
      </c>
      <c r="P43" s="3" t="s">
        <v>187</v>
      </c>
      <c r="Q43" s="3" t="s">
        <v>190</v>
      </c>
      <c r="R43" s="4">
        <v>32</v>
      </c>
      <c r="S43" s="3" t="s">
        <v>36</v>
      </c>
      <c r="T43" s="4">
        <v>12</v>
      </c>
      <c r="U43" s="3" t="s">
        <v>36</v>
      </c>
      <c r="V43" s="4">
        <v>12</v>
      </c>
      <c r="W43" s="3" t="s">
        <v>37</v>
      </c>
      <c r="X43" s="4">
        <v>8</v>
      </c>
      <c r="Y43" s="3" t="s">
        <v>36</v>
      </c>
      <c r="Z43" s="4">
        <v>10</v>
      </c>
      <c r="AA43" s="3" t="s">
        <v>36</v>
      </c>
      <c r="AB43" s="4">
        <v>10</v>
      </c>
      <c r="AC43" t="str">
        <f>_xlfn.TEXTJOIN(",",,"INSERT INTO assetList VALUES (",A43,B43,C43,F43,E43,G43,H43,I43,J43,K43,L43,N43,P43,Q43,R43,S43,T43,U43,V43,W43,X43,Y43,Z43,AA43,AB43,")")</f>
        <v>INSERT INTO assetList VALUES (,100026.1,Hotel,Hotel EMA House Suites,8.54449,47.37616,4*,Nordstrasse,1,8006,Zürich,Switzerland,SingleStandard,2021-06-10 15:00:00.000000,2021-08-19 15:00:00.000000,32,true,12,true,12,false,8,true,10,true,10,)</v>
      </c>
    </row>
    <row r="44" spans="1:39" ht="17" customHeight="1" x14ac:dyDescent="0.2">
      <c r="A44" s="3" t="s">
        <v>249</v>
      </c>
      <c r="B44" s="3" t="s">
        <v>27</v>
      </c>
      <c r="C44" s="3" t="s">
        <v>134</v>
      </c>
      <c r="D44" s="5">
        <v>86.37981869361758</v>
      </c>
      <c r="E44" s="3" t="s">
        <v>48</v>
      </c>
      <c r="F44" s="3" t="s">
        <v>47</v>
      </c>
      <c r="G44" s="3" t="s">
        <v>124</v>
      </c>
      <c r="H44" s="3" t="s">
        <v>135</v>
      </c>
      <c r="I44" s="3">
        <v>1</v>
      </c>
      <c r="J44" s="3">
        <v>8006</v>
      </c>
      <c r="K44" s="3" t="s">
        <v>33</v>
      </c>
      <c r="L44" s="3" t="s">
        <v>34</v>
      </c>
      <c r="M44" s="3"/>
      <c r="N44" s="3" t="s">
        <v>53</v>
      </c>
      <c r="O44" s="3" t="s">
        <v>36</v>
      </c>
      <c r="P44" s="3" t="s">
        <v>187</v>
      </c>
      <c r="Q44" s="3" t="s">
        <v>190</v>
      </c>
      <c r="R44" s="4">
        <v>34</v>
      </c>
      <c r="S44" s="3" t="s">
        <v>36</v>
      </c>
      <c r="T44" s="4">
        <v>15</v>
      </c>
      <c r="U44" s="3" t="s">
        <v>36</v>
      </c>
      <c r="V44" s="4">
        <v>15</v>
      </c>
      <c r="W44" s="3" t="s">
        <v>37</v>
      </c>
      <c r="X44" s="4">
        <v>8</v>
      </c>
      <c r="Y44" s="3" t="s">
        <v>36</v>
      </c>
      <c r="Z44" s="4">
        <v>10</v>
      </c>
      <c r="AA44" s="3" t="s">
        <v>36</v>
      </c>
      <c r="AB44" s="4">
        <v>10</v>
      </c>
      <c r="AC44" t="str">
        <f>_xlfn.TEXTJOIN(",",,"INSERT INTO assetList VALUES (",A44,B44,C44,F44,E44,G44,H44,I44,J44,K44,L44,N44,P44,Q44,R44,S44,T44,U44,V44,W44,X44,Y44,Z44,AA44,AB44,")")</f>
        <v>INSERT INTO assetList VALUES (,100026.2,Hotel,Hotel EMA House Suites,8.54449,47.37616,4*,Nordstrasse,1,8006,Zürich,Switzerland,DoubleStandard,2021-06-10 15:00:00.000000,2021-08-19 15:00:00.000000,34,true,15,true,15,false,8,true,10,true,10,)</v>
      </c>
    </row>
    <row r="45" spans="1:39" ht="17" customHeight="1" x14ac:dyDescent="0.2">
      <c r="A45" s="3">
        <v>100014</v>
      </c>
      <c r="B45" s="3" t="s">
        <v>27</v>
      </c>
      <c r="C45" s="3" t="s">
        <v>84</v>
      </c>
      <c r="D45" s="5">
        <v>86.383948893743337</v>
      </c>
      <c r="E45" s="3" t="s">
        <v>86</v>
      </c>
      <c r="F45" s="3" t="s">
        <v>85</v>
      </c>
      <c r="G45" s="3" t="s">
        <v>31</v>
      </c>
      <c r="H45" s="3" t="s">
        <v>87</v>
      </c>
      <c r="I45" s="3">
        <v>17</v>
      </c>
      <c r="J45" s="3">
        <v>8001</v>
      </c>
      <c r="K45" s="3" t="s">
        <v>33</v>
      </c>
      <c r="L45" s="3" t="s">
        <v>34</v>
      </c>
      <c r="M45" s="3"/>
      <c r="N45" s="3" t="s">
        <v>53</v>
      </c>
      <c r="O45" s="3" t="s">
        <v>36</v>
      </c>
      <c r="P45" s="3" t="s">
        <v>272</v>
      </c>
      <c r="Q45" s="3" t="s">
        <v>273</v>
      </c>
      <c r="R45" s="4">
        <v>25</v>
      </c>
      <c r="S45" s="3" t="s">
        <v>36</v>
      </c>
      <c r="T45" s="4">
        <v>10</v>
      </c>
      <c r="U45" s="3" t="s">
        <v>36</v>
      </c>
      <c r="V45" s="4">
        <v>10</v>
      </c>
      <c r="W45" s="3" t="s">
        <v>37</v>
      </c>
      <c r="X45" s="4">
        <v>5</v>
      </c>
      <c r="Y45" s="3" t="s">
        <v>37</v>
      </c>
      <c r="Z45" s="4">
        <v>10</v>
      </c>
      <c r="AA45" s="3" t="s">
        <v>37</v>
      </c>
      <c r="AB45" s="4">
        <v>10</v>
      </c>
      <c r="AC45" t="str">
        <f>_xlfn.TEXTJOIN(",",,"INSERT INTO assetList VALUES (",A45,B45,C45,F45,E45,G45,H45,I45,J45,K45,L45,N45,P45,Q45,R45,S45,T45,U45,V45,W45,X45,Y45,Z45,AA45,AB45,")")</f>
        <v>INSERT INTO assetList VALUES (,100014,Hotel,Hotel Scheuble,8.54488,47.37444,3*,Mühlegasse,17,8001,Zürich,Switzerland,DoubleStandard,2021-06-11 14:00:00.000000,2021-06-12 17:00:00.000000,25,true,10,true,10,false,5,false,10,false,10,)</v>
      </c>
    </row>
    <row r="46" spans="1:39" ht="17" customHeight="1" x14ac:dyDescent="0.2">
      <c r="A46" s="3">
        <v>100008</v>
      </c>
      <c r="B46" s="3" t="s">
        <v>27</v>
      </c>
      <c r="C46" s="3" t="s">
        <v>62</v>
      </c>
      <c r="D46" s="5">
        <v>86.461230385325749</v>
      </c>
      <c r="E46" s="3" t="s">
        <v>64</v>
      </c>
      <c r="F46" s="3" t="s">
        <v>63</v>
      </c>
      <c r="G46" s="3" t="s">
        <v>31</v>
      </c>
      <c r="H46" s="3" t="s">
        <v>65</v>
      </c>
      <c r="I46" s="3">
        <v>6</v>
      </c>
      <c r="J46" s="3">
        <v>8001</v>
      </c>
      <c r="K46" s="3" t="s">
        <v>33</v>
      </c>
      <c r="L46" s="3" t="s">
        <v>34</v>
      </c>
      <c r="M46" s="3"/>
      <c r="N46" s="3" t="s">
        <v>53</v>
      </c>
      <c r="O46" s="3" t="s">
        <v>36</v>
      </c>
      <c r="P46" s="3" t="s">
        <v>184</v>
      </c>
      <c r="Q46" s="3" t="s">
        <v>189</v>
      </c>
      <c r="R46" s="4">
        <v>23</v>
      </c>
      <c r="S46" s="3" t="s">
        <v>36</v>
      </c>
      <c r="T46" s="4">
        <v>10</v>
      </c>
      <c r="U46" s="3" t="s">
        <v>36</v>
      </c>
      <c r="V46" s="4">
        <v>10</v>
      </c>
      <c r="W46" s="3" t="s">
        <v>37</v>
      </c>
      <c r="X46" s="4">
        <v>5</v>
      </c>
      <c r="Y46" s="3" t="s">
        <v>37</v>
      </c>
      <c r="Z46" s="4">
        <v>10</v>
      </c>
      <c r="AA46" s="3" t="s">
        <v>36</v>
      </c>
      <c r="AB46" s="4">
        <v>10</v>
      </c>
      <c r="AC46" t="str">
        <f>_xlfn.TEXTJOIN(",",,"INSERT INTO assetList VALUES (",A46,B46,C46,F46,E46,G46,H46,I46,J46,K46,L46,N46,P46,Q46,R46,S46,T46,U46,V46,W46,X46,Y46,Z46,AA46,AB46,")")</f>
        <v>INSERT INTO assetList VALUES (,100008,Hotel,Hotel Royal Zürich,8.54502,47.37898,3*,Leonhardstrasse,6,8001,Zürich,Switzerland,DoubleStandard,2021-06-10 13:30:00.000000,2021-06-11 12:00:00.000000,23,true,10,true,10,false,5,false,10,true,10,)</v>
      </c>
    </row>
    <row r="47" spans="1:39" ht="17" customHeight="1" x14ac:dyDescent="0.2">
      <c r="A47" s="3">
        <v>100021</v>
      </c>
      <c r="B47" s="3" t="s">
        <v>27</v>
      </c>
      <c r="C47" s="3" t="s">
        <v>111</v>
      </c>
      <c r="D47" s="5">
        <v>86.46565119278759</v>
      </c>
      <c r="E47" s="3" t="s">
        <v>113</v>
      </c>
      <c r="F47" s="3" t="s">
        <v>112</v>
      </c>
      <c r="G47" s="3" t="s">
        <v>31</v>
      </c>
      <c r="H47" s="3" t="s">
        <v>114</v>
      </c>
      <c r="I47" s="3">
        <v>64</v>
      </c>
      <c r="J47" s="3">
        <v>8001</v>
      </c>
      <c r="K47" s="3" t="s">
        <v>33</v>
      </c>
      <c r="L47" s="3" t="s">
        <v>34</v>
      </c>
      <c r="M47" s="3"/>
      <c r="N47" s="3" t="s">
        <v>103</v>
      </c>
      <c r="O47" s="3" t="s">
        <v>36</v>
      </c>
      <c r="P47" s="3" t="s">
        <v>272</v>
      </c>
      <c r="Q47" s="3" t="s">
        <v>273</v>
      </c>
      <c r="R47" s="4">
        <v>27</v>
      </c>
      <c r="S47" s="3" t="s">
        <v>36</v>
      </c>
      <c r="T47" s="4">
        <v>10</v>
      </c>
      <c r="U47" s="3" t="s">
        <v>36</v>
      </c>
      <c r="V47" s="4">
        <v>10</v>
      </c>
      <c r="W47" s="3" t="s">
        <v>36</v>
      </c>
      <c r="X47" s="4">
        <v>5</v>
      </c>
      <c r="Y47" s="3" t="s">
        <v>37</v>
      </c>
      <c r="Z47" s="4">
        <v>10</v>
      </c>
      <c r="AA47" s="3" t="s">
        <v>37</v>
      </c>
      <c r="AB47" s="6">
        <v>10</v>
      </c>
      <c r="AC47" s="8" t="s">
        <v>206</v>
      </c>
      <c r="AD47" s="8"/>
      <c r="AE47" s="8"/>
      <c r="AF47" s="8"/>
      <c r="AG47" s="8"/>
      <c r="AM47" s="8"/>
    </row>
    <row r="48" spans="1:39" ht="17" customHeight="1" x14ac:dyDescent="0.2">
      <c r="A48" s="3">
        <v>100011</v>
      </c>
      <c r="B48" s="3" t="s">
        <v>27</v>
      </c>
      <c r="C48" s="3" t="s">
        <v>73</v>
      </c>
      <c r="D48" s="5">
        <v>86.473193011804227</v>
      </c>
      <c r="E48" s="3" t="s">
        <v>75</v>
      </c>
      <c r="F48" s="3" t="s">
        <v>74</v>
      </c>
      <c r="G48" s="3" t="s">
        <v>31</v>
      </c>
      <c r="H48" s="3" t="s">
        <v>65</v>
      </c>
      <c r="I48" s="3">
        <v>1</v>
      </c>
      <c r="J48" s="3">
        <v>8001</v>
      </c>
      <c r="K48" s="3" t="s">
        <v>33</v>
      </c>
      <c r="L48" s="3" t="s">
        <v>34</v>
      </c>
      <c r="M48" s="3"/>
      <c r="N48" s="3" t="s">
        <v>53</v>
      </c>
      <c r="O48" s="3" t="s">
        <v>36</v>
      </c>
      <c r="P48" s="3" t="s">
        <v>184</v>
      </c>
      <c r="Q48" s="3" t="s">
        <v>189</v>
      </c>
      <c r="R48" s="4">
        <v>25</v>
      </c>
      <c r="S48" s="3" t="s">
        <v>36</v>
      </c>
      <c r="T48" s="4">
        <v>10</v>
      </c>
      <c r="U48" s="3" t="s">
        <v>36</v>
      </c>
      <c r="V48" s="4">
        <v>10</v>
      </c>
      <c r="W48" s="3" t="s">
        <v>37</v>
      </c>
      <c r="X48" s="4">
        <v>5</v>
      </c>
      <c r="Y48" s="3" t="s">
        <v>37</v>
      </c>
      <c r="Z48" s="4">
        <v>10</v>
      </c>
      <c r="AA48" s="3" t="s">
        <v>36</v>
      </c>
      <c r="AB48" s="6">
        <v>10</v>
      </c>
      <c r="AC48" s="8" t="s">
        <v>206</v>
      </c>
      <c r="AD48" s="8"/>
      <c r="AE48" s="8"/>
      <c r="AF48" s="8"/>
      <c r="AG48" s="8"/>
      <c r="AM48" s="8"/>
    </row>
    <row r="49" spans="1:47" ht="17" customHeight="1" x14ac:dyDescent="0.2">
      <c r="A49" s="3">
        <v>100006</v>
      </c>
      <c r="B49" s="3" t="s">
        <v>27</v>
      </c>
      <c r="C49" s="3" t="s">
        <v>54</v>
      </c>
      <c r="D49" s="5">
        <v>86.585307181712821</v>
      </c>
      <c r="E49" s="3" t="s">
        <v>56</v>
      </c>
      <c r="F49" s="3" t="s">
        <v>55</v>
      </c>
      <c r="G49" s="3" t="s">
        <v>31</v>
      </c>
      <c r="H49" s="3" t="s">
        <v>57</v>
      </c>
      <c r="I49" s="3">
        <v>4</v>
      </c>
      <c r="J49" s="3">
        <v>8001</v>
      </c>
      <c r="K49" s="3" t="s">
        <v>33</v>
      </c>
      <c r="L49" s="3" t="s">
        <v>34</v>
      </c>
      <c r="M49" s="3"/>
      <c r="N49" s="3" t="s">
        <v>53</v>
      </c>
      <c r="O49" s="3" t="s">
        <v>36</v>
      </c>
      <c r="P49" s="3" t="s">
        <v>184</v>
      </c>
      <c r="Q49" s="3" t="s">
        <v>189</v>
      </c>
      <c r="R49" s="4">
        <v>23</v>
      </c>
      <c r="S49" s="3" t="s">
        <v>36</v>
      </c>
      <c r="T49" s="4">
        <v>10</v>
      </c>
      <c r="U49" s="3" t="s">
        <v>36</v>
      </c>
      <c r="V49" s="4">
        <v>10</v>
      </c>
      <c r="W49" s="3" t="s">
        <v>36</v>
      </c>
      <c r="X49" s="4">
        <v>5</v>
      </c>
      <c r="Y49" s="3" t="s">
        <v>37</v>
      </c>
      <c r="Z49" s="4">
        <v>10</v>
      </c>
      <c r="AA49" s="3" t="s">
        <v>37</v>
      </c>
      <c r="AB49" s="6">
        <v>8</v>
      </c>
      <c r="AC49" s="8" t="s">
        <v>206</v>
      </c>
      <c r="AD49" s="8"/>
      <c r="AE49" s="8"/>
      <c r="AF49" s="8"/>
      <c r="AG49" s="8"/>
      <c r="AH49" s="8"/>
    </row>
    <row r="50" spans="1:47" ht="17" customHeight="1" x14ac:dyDescent="0.2">
      <c r="A50" s="3" t="s">
        <v>195</v>
      </c>
      <c r="B50" s="3" t="s">
        <v>27</v>
      </c>
      <c r="C50" s="3" t="s">
        <v>42</v>
      </c>
      <c r="D50" s="5">
        <v>86.989782105607773</v>
      </c>
      <c r="E50" s="3" t="s">
        <v>44</v>
      </c>
      <c r="F50" s="3" t="s">
        <v>43</v>
      </c>
      <c r="G50" s="3" t="s">
        <v>31</v>
      </c>
      <c r="H50" s="3" t="s">
        <v>45</v>
      </c>
      <c r="I50" s="3">
        <v>26</v>
      </c>
      <c r="J50" s="3">
        <v>8032</v>
      </c>
      <c r="K50" s="3" t="s">
        <v>33</v>
      </c>
      <c r="L50" s="3" t="s">
        <v>34</v>
      </c>
      <c r="M50" s="3"/>
      <c r="N50" s="3" t="s">
        <v>161</v>
      </c>
      <c r="O50" s="3" t="s">
        <v>36</v>
      </c>
      <c r="P50" s="3" t="s">
        <v>183</v>
      </c>
      <c r="Q50" s="3" t="s">
        <v>189</v>
      </c>
      <c r="R50" s="4">
        <v>29</v>
      </c>
      <c r="S50" s="3" t="s">
        <v>36</v>
      </c>
      <c r="T50" s="4">
        <v>10</v>
      </c>
      <c r="U50" s="3" t="s">
        <v>36</v>
      </c>
      <c r="V50" s="4">
        <v>10</v>
      </c>
      <c r="W50" s="3" t="s">
        <v>37</v>
      </c>
      <c r="X50" s="4">
        <v>5</v>
      </c>
      <c r="Y50" s="3" t="s">
        <v>36</v>
      </c>
      <c r="Z50" s="4">
        <v>10</v>
      </c>
      <c r="AA50" s="3" t="s">
        <v>37</v>
      </c>
      <c r="AB50" s="6">
        <v>10</v>
      </c>
      <c r="AC50" s="8" t="s">
        <v>206</v>
      </c>
      <c r="AD50" s="8"/>
      <c r="AE50" s="8"/>
      <c r="AF50" s="8"/>
      <c r="AG50" s="8"/>
      <c r="AH50" s="8"/>
    </row>
    <row r="51" spans="1:47" ht="17" customHeight="1" x14ac:dyDescent="0.2">
      <c r="A51" s="3" t="s">
        <v>200</v>
      </c>
      <c r="B51" s="3" t="s">
        <v>27</v>
      </c>
      <c r="C51" s="3" t="s">
        <v>42</v>
      </c>
      <c r="D51" s="5">
        <v>86.989782105607773</v>
      </c>
      <c r="E51" s="3" t="s">
        <v>44</v>
      </c>
      <c r="F51" s="3" t="s">
        <v>43</v>
      </c>
      <c r="G51" s="3" t="s">
        <v>31</v>
      </c>
      <c r="H51" s="3" t="s">
        <v>45</v>
      </c>
      <c r="I51" s="3">
        <v>26</v>
      </c>
      <c r="J51" s="3">
        <v>8032</v>
      </c>
      <c r="K51" s="3" t="s">
        <v>33</v>
      </c>
      <c r="L51" s="3" t="s">
        <v>34</v>
      </c>
      <c r="M51" s="3"/>
      <c r="N51" s="3" t="s">
        <v>174</v>
      </c>
      <c r="O51" s="3" t="s">
        <v>36</v>
      </c>
      <c r="P51" s="3" t="s">
        <v>183</v>
      </c>
      <c r="Q51" s="3" t="s">
        <v>189</v>
      </c>
      <c r="R51" s="4">
        <v>20</v>
      </c>
      <c r="S51" s="3" t="s">
        <v>36</v>
      </c>
      <c r="T51" s="4">
        <v>10</v>
      </c>
      <c r="U51" s="3" t="s">
        <v>36</v>
      </c>
      <c r="V51" s="4">
        <v>10</v>
      </c>
      <c r="W51" s="3" t="s">
        <v>37</v>
      </c>
      <c r="X51" s="4">
        <v>5</v>
      </c>
      <c r="Y51" s="3" t="s">
        <v>36</v>
      </c>
      <c r="Z51" s="4">
        <v>10</v>
      </c>
      <c r="AA51" s="3" t="s">
        <v>36</v>
      </c>
      <c r="AB51" s="6">
        <v>10</v>
      </c>
      <c r="AC51" s="8" t="s">
        <v>206</v>
      </c>
      <c r="AD51" s="8"/>
      <c r="AE51" s="8"/>
      <c r="AF51" s="8"/>
      <c r="AG51" s="8"/>
      <c r="AH51" s="8"/>
    </row>
    <row r="52" spans="1:47" ht="17" customHeight="1" x14ac:dyDescent="0.2">
      <c r="A52" s="3" t="s">
        <v>203</v>
      </c>
      <c r="B52" s="3" t="s">
        <v>27</v>
      </c>
      <c r="C52" s="3" t="s">
        <v>202</v>
      </c>
      <c r="D52" s="5">
        <v>148.91593377532377</v>
      </c>
      <c r="E52" s="3">
        <v>47.421420500000004</v>
      </c>
      <c r="F52" s="3">
        <v>9.3731755999999997</v>
      </c>
      <c r="G52" s="3" t="s">
        <v>124</v>
      </c>
      <c r="H52" s="3" t="s">
        <v>204</v>
      </c>
      <c r="I52" s="3">
        <v>2</v>
      </c>
      <c r="J52" s="3">
        <v>9000</v>
      </c>
      <c r="K52" s="3" t="s">
        <v>205</v>
      </c>
      <c r="L52" s="3" t="s">
        <v>34</v>
      </c>
      <c r="N52" s="3" t="s">
        <v>161</v>
      </c>
      <c r="O52" s="3" t="s">
        <v>36</v>
      </c>
      <c r="P52" s="3" t="s">
        <v>188</v>
      </c>
      <c r="Q52" s="3" t="s">
        <v>190</v>
      </c>
      <c r="R52" s="6">
        <v>50</v>
      </c>
      <c r="S52" s="7" t="s">
        <v>36</v>
      </c>
      <c r="T52" s="6">
        <v>15</v>
      </c>
      <c r="U52" s="7" t="s">
        <v>36</v>
      </c>
      <c r="V52" s="6">
        <v>15</v>
      </c>
      <c r="W52" s="7" t="s">
        <v>36</v>
      </c>
      <c r="X52" s="6">
        <v>8</v>
      </c>
      <c r="Y52" s="7" t="s">
        <v>36</v>
      </c>
      <c r="Z52" s="6">
        <v>10</v>
      </c>
      <c r="AA52" s="7" t="s">
        <v>36</v>
      </c>
      <c r="AB52" s="6">
        <v>15</v>
      </c>
      <c r="AC52" s="8" t="s">
        <v>206</v>
      </c>
      <c r="AD52" s="8"/>
      <c r="AE52" s="8"/>
      <c r="AF52" s="8"/>
      <c r="AG52" s="8"/>
      <c r="AH52" s="8"/>
    </row>
    <row r="53" spans="1:47" ht="17" customHeight="1" x14ac:dyDescent="0.2">
      <c r="A53" s="3" t="s">
        <v>213</v>
      </c>
      <c r="B53" s="3" t="s">
        <v>27</v>
      </c>
      <c r="C53" s="3" t="s">
        <v>250</v>
      </c>
      <c r="D53" s="5">
        <v>149.14061115021326</v>
      </c>
      <c r="E53" s="3" t="s">
        <v>211</v>
      </c>
      <c r="F53" s="3" t="s">
        <v>214</v>
      </c>
      <c r="G53" s="3" t="s">
        <v>31</v>
      </c>
      <c r="H53" s="3" t="s">
        <v>215</v>
      </c>
      <c r="I53" s="3" t="s">
        <v>216</v>
      </c>
      <c r="J53" s="3">
        <v>9000</v>
      </c>
      <c r="K53" s="3" t="s">
        <v>205</v>
      </c>
      <c r="L53" s="3" t="s">
        <v>34</v>
      </c>
      <c r="N53" s="3" t="s">
        <v>53</v>
      </c>
      <c r="O53" s="3" t="s">
        <v>36</v>
      </c>
      <c r="P53" s="3" t="s">
        <v>188</v>
      </c>
      <c r="Q53" s="3" t="s">
        <v>190</v>
      </c>
      <c r="R53" s="6">
        <v>35</v>
      </c>
      <c r="S53" s="7" t="s">
        <v>36</v>
      </c>
      <c r="T53" s="6">
        <v>10</v>
      </c>
      <c r="U53" s="7" t="s">
        <v>36</v>
      </c>
      <c r="V53" s="6">
        <v>10</v>
      </c>
      <c r="W53" s="7" t="s">
        <v>36</v>
      </c>
      <c r="X53" s="6">
        <v>8</v>
      </c>
      <c r="Y53" s="7" t="s">
        <v>36</v>
      </c>
      <c r="Z53" s="6">
        <v>8</v>
      </c>
      <c r="AA53" s="7" t="s">
        <v>36</v>
      </c>
      <c r="AB53" s="6">
        <v>10</v>
      </c>
      <c r="AC53" s="8" t="s">
        <v>206</v>
      </c>
      <c r="AD53" s="8"/>
      <c r="AE53" s="8"/>
      <c r="AF53" s="8"/>
      <c r="AG53" s="8"/>
      <c r="AH53" s="8"/>
    </row>
    <row r="54" spans="1:47" ht="17" customHeight="1" x14ac:dyDescent="0.2">
      <c r="A54" s="3" t="s">
        <v>208</v>
      </c>
      <c r="B54" s="3" t="s">
        <v>27</v>
      </c>
      <c r="C54" s="3" t="s">
        <v>207</v>
      </c>
      <c r="D54" s="5">
        <v>149.30471219252127</v>
      </c>
      <c r="E54" s="3" t="s">
        <v>211</v>
      </c>
      <c r="F54" s="3" t="s">
        <v>212</v>
      </c>
      <c r="G54" s="3" t="s">
        <v>124</v>
      </c>
      <c r="H54" s="3" t="s">
        <v>209</v>
      </c>
      <c r="I54" s="3" t="s">
        <v>210</v>
      </c>
      <c r="J54" s="3">
        <v>9000</v>
      </c>
      <c r="K54" s="3" t="s">
        <v>205</v>
      </c>
      <c r="L54" s="3" t="s">
        <v>34</v>
      </c>
      <c r="N54" s="3" t="s">
        <v>161</v>
      </c>
      <c r="O54" s="3" t="s">
        <v>36</v>
      </c>
      <c r="P54" s="3" t="s">
        <v>188</v>
      </c>
      <c r="Q54" s="3" t="s">
        <v>190</v>
      </c>
      <c r="R54" s="6">
        <v>50</v>
      </c>
      <c r="S54" s="7" t="s">
        <v>36</v>
      </c>
      <c r="T54" s="6">
        <v>15</v>
      </c>
      <c r="U54" s="7" t="s">
        <v>36</v>
      </c>
      <c r="V54" s="6">
        <v>15</v>
      </c>
      <c r="W54" s="7" t="s">
        <v>36</v>
      </c>
      <c r="X54" s="6">
        <v>8</v>
      </c>
      <c r="Y54" s="7" t="s">
        <v>36</v>
      </c>
      <c r="Z54" s="6">
        <v>10</v>
      </c>
      <c r="AA54" s="7" t="s">
        <v>36</v>
      </c>
      <c r="AB54" s="6">
        <v>10</v>
      </c>
      <c r="AC54" s="8" t="s">
        <v>206</v>
      </c>
      <c r="AD54" s="8"/>
      <c r="AE54" s="8"/>
      <c r="AF54" s="8"/>
      <c r="AG54" s="8"/>
      <c r="AH54" s="8"/>
    </row>
    <row r="55" spans="1:47" ht="17" customHeight="1" x14ac:dyDescent="0.2">
      <c r="B55" s="2" t="s">
        <v>233</v>
      </c>
      <c r="C55" s="11"/>
      <c r="D55" s="11"/>
      <c r="G55" s="3"/>
    </row>
    <row r="57" spans="1:47" ht="17" customHeight="1" x14ac:dyDescent="0.2">
      <c r="AG57" s="1" t="s">
        <v>251</v>
      </c>
      <c r="AH57" s="1" t="s">
        <v>257</v>
      </c>
      <c r="AI57" s="1" t="s">
        <v>14</v>
      </c>
      <c r="AJ57" s="1" t="s">
        <v>15</v>
      </c>
    </row>
    <row r="58" spans="1:47" ht="17" customHeight="1" x14ac:dyDescent="0.2">
      <c r="AG58" s="3" t="s">
        <v>252</v>
      </c>
      <c r="AH58" s="3" t="s">
        <v>258</v>
      </c>
      <c r="AI58" s="3" t="s">
        <v>185</v>
      </c>
      <c r="AJ58" s="3" t="s">
        <v>188</v>
      </c>
    </row>
    <row r="59" spans="1:47" ht="17" customHeight="1" x14ac:dyDescent="0.2">
      <c r="AG59" s="3" t="s">
        <v>253</v>
      </c>
      <c r="AH59" t="s">
        <v>259</v>
      </c>
      <c r="AI59" s="3" t="s">
        <v>272</v>
      </c>
      <c r="AJ59" s="3" t="s">
        <v>266</v>
      </c>
    </row>
    <row r="60" spans="1:47" ht="17" customHeight="1" x14ac:dyDescent="0.2">
      <c r="AG60" s="3" t="s">
        <v>254</v>
      </c>
      <c r="AH60" t="s">
        <v>260</v>
      </c>
      <c r="AI60" s="3" t="s">
        <v>187</v>
      </c>
      <c r="AJ60" s="3" t="s">
        <v>269</v>
      </c>
    </row>
    <row r="61" spans="1:47" ht="17" customHeight="1" x14ac:dyDescent="0.2">
      <c r="AE61" s="3"/>
      <c r="AG61" s="3" t="s">
        <v>255</v>
      </c>
      <c r="AH61" t="s">
        <v>261</v>
      </c>
      <c r="AI61" s="3" t="s">
        <v>274</v>
      </c>
      <c r="AJ61" s="3" t="s">
        <v>270</v>
      </c>
      <c r="AK61" s="3"/>
      <c r="AL61" s="3"/>
      <c r="AN61" s="3"/>
      <c r="AQ61" s="3"/>
      <c r="AR61" s="3"/>
      <c r="AS61" s="3"/>
      <c r="AT61" s="3"/>
      <c r="AU61" s="3"/>
    </row>
    <row r="62" spans="1:47" ht="17" customHeight="1" x14ac:dyDescent="0.2">
      <c r="AG62" s="12" t="s">
        <v>256</v>
      </c>
      <c r="AH62" s="13" t="s">
        <v>262</v>
      </c>
      <c r="AI62" s="12" t="s">
        <v>183</v>
      </c>
      <c r="AJ62" s="12" t="s">
        <v>184</v>
      </c>
    </row>
  </sheetData>
  <autoFilter ref="A1:AA55" xr:uid="{A21A5BE7-7AB7-E348-8D96-1F0445CCAA25}">
    <sortState xmlns:xlrd2="http://schemas.microsoft.com/office/spreadsheetml/2017/richdata2" ref="A2:AA55">
      <sortCondition ref="D1:D55"/>
    </sortState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2C34B92-02C5-E54C-A89C-7DF9EC1729C4}">
          <x14:formula1>
            <xm:f>'Host Variablen'!$D$2:$D$7</xm:f>
          </x14:formula1>
          <xm:sqref>N2:N54</xm:sqref>
        </x14:dataValidation>
        <x14:dataValidation type="list" allowBlank="1" showInputMessage="1" showErrorMessage="1" xr:uid="{1BD747A4-A91D-FA46-BDE0-EE83E5854B8C}">
          <x14:formula1>
            <xm:f>'Host Variablen'!$B$2:$B$3</xm:f>
          </x14:formula1>
          <xm:sqref>O2:O54 Y2:Y46 S2:S46 U2:U46 W2:W46 AA2:AA46</xm:sqref>
        </x14:dataValidation>
        <x14:dataValidation type="list" allowBlank="1" showInputMessage="1" showErrorMessage="1" xr:uid="{2E38FCE1-7BE7-324F-B204-0348255E1CAE}">
          <x14:formula1>
            <xm:f>'Host Variablen'!$A$2:$A$5</xm:f>
          </x14:formula1>
          <xm:sqref>B2:B46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498F-5437-0247-82B4-2F4B4C9A9F23}">
  <sheetPr codeName="Sheet9"/>
  <dimension ref="A1:V68"/>
  <sheetViews>
    <sheetView zoomScale="120" zoomScaleNormal="120" workbookViewId="0">
      <selection activeCell="E3" sqref="E3:E56"/>
    </sheetView>
  </sheetViews>
  <sheetFormatPr baseColWidth="10" defaultColWidth="11.5" defaultRowHeight="15" x14ac:dyDescent="0.2"/>
  <cols>
    <col min="1" max="1" width="13.6640625" bestFit="1" customWidth="1"/>
    <col min="2" max="2" width="29.1640625" bestFit="1" customWidth="1"/>
    <col min="3" max="3" width="11.33203125" bestFit="1" customWidth="1"/>
    <col min="4" max="4" width="10.6640625" bestFit="1" customWidth="1"/>
    <col min="5" max="5" width="11.1640625" customWidth="1"/>
    <col min="6" max="6" width="14.33203125" bestFit="1" customWidth="1"/>
    <col min="7" max="7" width="4.83203125" customWidth="1"/>
  </cols>
  <sheetData>
    <row r="1" spans="1:22" ht="17" customHeight="1" x14ac:dyDescent="0.2">
      <c r="A1" s="1" t="s">
        <v>251</v>
      </c>
      <c r="B1" s="1" t="s">
        <v>257</v>
      </c>
      <c r="C1" s="1" t="s">
        <v>4</v>
      </c>
      <c r="D1" s="1" t="s">
        <v>3</v>
      </c>
      <c r="E1" s="1" t="s">
        <v>275</v>
      </c>
      <c r="F1" s="1" t="s">
        <v>263</v>
      </c>
    </row>
    <row r="2" spans="1:22" x14ac:dyDescent="0.2">
      <c r="A2" s="3" t="s">
        <v>252</v>
      </c>
      <c r="B2" t="s">
        <v>258</v>
      </c>
      <c r="C2">
        <v>47.377857900000002</v>
      </c>
      <c r="D2">
        <v>8.5381339000000001</v>
      </c>
      <c r="E2" s="3"/>
      <c r="F2" t="s">
        <v>264</v>
      </c>
    </row>
    <row r="3" spans="1:22" x14ac:dyDescent="0.2">
      <c r="A3" s="1" t="s">
        <v>0</v>
      </c>
      <c r="B3" s="1" t="s">
        <v>2</v>
      </c>
      <c r="C3" s="1" t="s">
        <v>4</v>
      </c>
      <c r="D3" s="1" t="s">
        <v>3</v>
      </c>
      <c r="E3" s="1" t="s">
        <v>275</v>
      </c>
    </row>
    <row r="4" spans="1:22" x14ac:dyDescent="0.2">
      <c r="A4" s="3" t="s">
        <v>191</v>
      </c>
      <c r="B4" s="3" t="s">
        <v>28</v>
      </c>
      <c r="C4" s="3" t="s">
        <v>30</v>
      </c>
      <c r="D4" s="3" t="s">
        <v>29</v>
      </c>
      <c r="E4" s="8" cm="1">
        <f t="array" ref="E4">getDistance($C$2,$D$2,C4,D4)</f>
        <v>1.0466116198846929</v>
      </c>
    </row>
    <row r="5" spans="1:22" x14ac:dyDescent="0.2">
      <c r="A5" s="3" t="s">
        <v>192</v>
      </c>
      <c r="B5" s="3" t="s">
        <v>28</v>
      </c>
      <c r="C5" s="3" t="s">
        <v>30</v>
      </c>
      <c r="D5" s="3" t="s">
        <v>29</v>
      </c>
      <c r="E5" s="8" cm="1">
        <f t="array" ref="E5">getDistance($C$2,$D$2,C5,D5)</f>
        <v>1.0466116198846929</v>
      </c>
      <c r="K5" t="s">
        <v>276</v>
      </c>
    </row>
    <row r="6" spans="1:22" x14ac:dyDescent="0.2">
      <c r="A6" s="3" t="s">
        <v>193</v>
      </c>
      <c r="B6" s="3" t="s">
        <v>28</v>
      </c>
      <c r="C6" s="3" t="s">
        <v>30</v>
      </c>
      <c r="D6" s="3" t="s">
        <v>29</v>
      </c>
      <c r="E6" s="8" cm="1">
        <f t="array" ref="E6">getDistance($C$2,$D$2,C6,D6)</f>
        <v>1.0466116198846929</v>
      </c>
    </row>
    <row r="7" spans="1:22" x14ac:dyDescent="0.2">
      <c r="A7" s="3" t="s">
        <v>194</v>
      </c>
      <c r="B7" s="3" t="s">
        <v>38</v>
      </c>
      <c r="C7" s="3" t="s">
        <v>40</v>
      </c>
      <c r="D7" s="3" t="s">
        <v>39</v>
      </c>
      <c r="E7" s="8" cm="1">
        <f t="array" ref="E7">getDistance($C$2,$D$2,C7,D7)</f>
        <v>0.62965648273189379</v>
      </c>
    </row>
    <row r="8" spans="1:22" x14ac:dyDescent="0.2">
      <c r="A8" s="3" t="s">
        <v>197</v>
      </c>
      <c r="B8" s="3" t="s">
        <v>38</v>
      </c>
      <c r="C8" s="3" t="s">
        <v>40</v>
      </c>
      <c r="D8" s="3" t="s">
        <v>39</v>
      </c>
      <c r="E8" s="8" cm="1">
        <f t="array" ref="E8">getDistance($C$2,$D$2,C8,D8)</f>
        <v>0.62965648273189379</v>
      </c>
    </row>
    <row r="9" spans="1:22" x14ac:dyDescent="0.2">
      <c r="A9" s="3" t="s">
        <v>198</v>
      </c>
      <c r="B9" s="3" t="s">
        <v>38</v>
      </c>
      <c r="C9" s="3" t="s">
        <v>40</v>
      </c>
      <c r="D9" s="3" t="s">
        <v>39</v>
      </c>
      <c r="E9" s="8" cm="1">
        <f t="array" ref="E9">getDistance($C$2,$D$2,C9,D9)</f>
        <v>0.62965648273189379</v>
      </c>
    </row>
    <row r="10" spans="1:22" ht="17" customHeight="1" x14ac:dyDescent="0.2">
      <c r="A10" s="3" t="s">
        <v>199</v>
      </c>
      <c r="B10" s="3" t="s">
        <v>38</v>
      </c>
      <c r="C10" s="3" t="s">
        <v>40</v>
      </c>
      <c r="D10" s="3" t="s">
        <v>39</v>
      </c>
      <c r="E10" s="8" cm="1">
        <f t="array" ref="E10">getDistance($C$2,$D$2,C10,D10)</f>
        <v>0.62965648273189379</v>
      </c>
      <c r="V10" s="2"/>
    </row>
    <row r="11" spans="1:22" x14ac:dyDescent="0.2">
      <c r="A11" s="3" t="s">
        <v>195</v>
      </c>
      <c r="B11" s="3" t="s">
        <v>42</v>
      </c>
      <c r="C11" s="3" t="s">
        <v>44</v>
      </c>
      <c r="D11" s="3" t="s">
        <v>43</v>
      </c>
      <c r="E11" s="8" cm="1">
        <f t="array" ref="E11">getDistance($C$2,$D$2,C11,D11)</f>
        <v>1.1886810327537312</v>
      </c>
      <c r="G11" s="4"/>
    </row>
    <row r="12" spans="1:22" x14ac:dyDescent="0.2">
      <c r="A12" s="3" t="s">
        <v>200</v>
      </c>
      <c r="B12" s="3" t="s">
        <v>42</v>
      </c>
      <c r="C12" s="3" t="s">
        <v>44</v>
      </c>
      <c r="D12" s="3" t="s">
        <v>43</v>
      </c>
      <c r="E12" s="8" cm="1">
        <f t="array" ref="E12">getDistance($C$2,$D$2,C12,D12)</f>
        <v>1.1886810327537312</v>
      </c>
      <c r="G12" s="3"/>
    </row>
    <row r="13" spans="1:22" x14ac:dyDescent="0.2">
      <c r="A13" s="3" t="s">
        <v>196</v>
      </c>
      <c r="B13" s="3" t="s">
        <v>46</v>
      </c>
      <c r="C13" s="3" t="s">
        <v>48</v>
      </c>
      <c r="D13" s="3" t="s">
        <v>47</v>
      </c>
      <c r="E13" s="8" cm="1">
        <f t="array" ref="E13">getDistance($C$2,$D$2,C13,D13)</f>
        <v>0.514494133985542</v>
      </c>
      <c r="G13" s="3"/>
    </row>
    <row r="14" spans="1:22" x14ac:dyDescent="0.2">
      <c r="A14" s="3" t="s">
        <v>201</v>
      </c>
      <c r="B14" s="3" t="s">
        <v>46</v>
      </c>
      <c r="C14" s="3" t="s">
        <v>48</v>
      </c>
      <c r="D14" s="3" t="s">
        <v>47</v>
      </c>
      <c r="E14" s="8" cm="1">
        <f t="array" ref="E14">getDistance($C$2,$D$2,C14,D14)</f>
        <v>0.514494133985542</v>
      </c>
      <c r="G14" s="3"/>
    </row>
    <row r="15" spans="1:22" x14ac:dyDescent="0.2">
      <c r="A15" s="3" t="s">
        <v>243</v>
      </c>
      <c r="B15" s="3" t="s">
        <v>50</v>
      </c>
      <c r="C15" s="3" t="s">
        <v>52</v>
      </c>
      <c r="D15" s="3" t="s">
        <v>51</v>
      </c>
      <c r="E15" s="8" cm="1">
        <f t="array" ref="E15">getDistance($C$2,$D$2,C15,D15)</f>
        <v>0.56832248010149722</v>
      </c>
      <c r="I15" s="4"/>
    </row>
    <row r="16" spans="1:22" x14ac:dyDescent="0.2">
      <c r="A16" s="3">
        <v>100006</v>
      </c>
      <c r="B16" s="3" t="s">
        <v>54</v>
      </c>
      <c r="C16" s="3" t="s">
        <v>56</v>
      </c>
      <c r="D16" s="3" t="s">
        <v>55</v>
      </c>
      <c r="E16" s="8" cm="1">
        <f t="array" ref="E16">getDistance($C$2,$D$2,C16,D16)</f>
        <v>0.95076479464634567</v>
      </c>
      <c r="I16" s="4"/>
    </row>
    <row r="17" spans="1:11" x14ac:dyDescent="0.2">
      <c r="A17" s="3">
        <v>100007</v>
      </c>
      <c r="B17" s="3" t="s">
        <v>58</v>
      </c>
      <c r="C17" s="3" t="s">
        <v>60</v>
      </c>
      <c r="D17" s="3" t="s">
        <v>59</v>
      </c>
      <c r="E17" s="8" cm="1">
        <f t="array" ref="E17">getDistance($C$2,$D$2,C17,D17)</f>
        <v>0.63244334432472171</v>
      </c>
      <c r="I17" s="4"/>
    </row>
    <row r="18" spans="1:11" x14ac:dyDescent="0.2">
      <c r="A18" s="3">
        <v>100008</v>
      </c>
      <c r="B18" s="3" t="s">
        <v>62</v>
      </c>
      <c r="C18" s="3" t="s">
        <v>64</v>
      </c>
      <c r="D18" s="3" t="s">
        <v>63</v>
      </c>
      <c r="E18" s="8" cm="1">
        <f t="array" ref="E18">getDistance($C$2,$D$2,C18,D18)</f>
        <v>0.53329717365596241</v>
      </c>
      <c r="I18" s="4"/>
    </row>
    <row r="19" spans="1:11" x14ac:dyDescent="0.2">
      <c r="A19" s="3">
        <v>100009</v>
      </c>
      <c r="B19" s="3" t="s">
        <v>66</v>
      </c>
      <c r="C19" s="3" t="s">
        <v>68</v>
      </c>
      <c r="D19" s="3" t="s">
        <v>67</v>
      </c>
      <c r="E19" s="8" cm="1">
        <f t="array" ref="E19">getDistance($C$2,$D$2,C19,D19)</f>
        <v>0.66525345092932486</v>
      </c>
      <c r="I19" s="4"/>
    </row>
    <row r="20" spans="1:11" x14ac:dyDescent="0.2">
      <c r="A20" s="3">
        <v>100010</v>
      </c>
      <c r="B20" s="3" t="s">
        <v>70</v>
      </c>
      <c r="C20" s="3" t="s">
        <v>72</v>
      </c>
      <c r="D20" s="3" t="s">
        <v>71</v>
      </c>
      <c r="E20" s="8" cm="1">
        <f t="array" ref="E20">getDistance($C$2,$D$2,C20,D20)</f>
        <v>0.56397501666160776</v>
      </c>
      <c r="I20" s="4"/>
    </row>
    <row r="21" spans="1:11" x14ac:dyDescent="0.2">
      <c r="A21" s="3">
        <v>100011</v>
      </c>
      <c r="B21" s="3" t="s">
        <v>73</v>
      </c>
      <c r="C21" s="3" t="s">
        <v>75</v>
      </c>
      <c r="D21" s="3" t="s">
        <v>74</v>
      </c>
      <c r="E21" s="8" cm="1">
        <f t="array" ref="E21">getDistance($C$2,$D$2,C21,D21)</f>
        <v>0.54763161721073916</v>
      </c>
      <c r="I21" s="4"/>
    </row>
    <row r="22" spans="1:11" x14ac:dyDescent="0.2">
      <c r="A22" s="3">
        <v>100012</v>
      </c>
      <c r="B22" s="3" t="s">
        <v>76</v>
      </c>
      <c r="C22" s="3" t="s">
        <v>78</v>
      </c>
      <c r="D22" s="3" t="s">
        <v>77</v>
      </c>
      <c r="E22" s="8" cm="1">
        <f t="array" ref="E22">getDistance($C$2,$D$2,C22,D22)</f>
        <v>0.65404707084281211</v>
      </c>
      <c r="I22" s="4"/>
    </row>
    <row r="23" spans="1:11" x14ac:dyDescent="0.2">
      <c r="A23" s="3">
        <v>100013</v>
      </c>
      <c r="B23" s="3" t="s">
        <v>80</v>
      </c>
      <c r="C23" s="3" t="s">
        <v>82</v>
      </c>
      <c r="D23" s="3" t="s">
        <v>81</v>
      </c>
      <c r="E23" s="8" cm="1">
        <f t="array" ref="E23">getDistance($C$2,$D$2,C23,D23)</f>
        <v>1.0691399034432465</v>
      </c>
      <c r="I23" s="4"/>
    </row>
    <row r="24" spans="1:11" x14ac:dyDescent="0.2">
      <c r="A24" s="3">
        <v>100014</v>
      </c>
      <c r="B24" s="3" t="s">
        <v>84</v>
      </c>
      <c r="C24" s="3" t="s">
        <v>86</v>
      </c>
      <c r="D24" s="3" t="s">
        <v>85</v>
      </c>
      <c r="E24" s="8" cm="1">
        <f t="array" ref="E24">getDistance($C$2,$D$2,C24,D24)</f>
        <v>0.6344132800409461</v>
      </c>
      <c r="I24" s="4"/>
    </row>
    <row r="25" spans="1:11" x14ac:dyDescent="0.2">
      <c r="A25" s="3">
        <v>100015</v>
      </c>
      <c r="B25" s="3" t="s">
        <v>88</v>
      </c>
      <c r="C25" s="3" t="s">
        <v>90</v>
      </c>
      <c r="D25" s="3" t="s">
        <v>89</v>
      </c>
      <c r="E25" s="8" cm="1">
        <f t="array" ref="E25">getDistance($C$2,$D$2,C25,D25)</f>
        <v>0.22556124661524329</v>
      </c>
      <c r="G25" s="3"/>
      <c r="I25" s="4"/>
    </row>
    <row r="26" spans="1:11" x14ac:dyDescent="0.2">
      <c r="A26" s="3">
        <v>100016</v>
      </c>
      <c r="B26" s="3" t="s">
        <v>92</v>
      </c>
      <c r="C26" s="3" t="s">
        <v>94</v>
      </c>
      <c r="D26" s="3" t="s">
        <v>93</v>
      </c>
      <c r="E26" s="8" cm="1">
        <f t="array" ref="E26">getDistance($C$2,$D$2,C26,D26)</f>
        <v>0.27816431397965502</v>
      </c>
      <c r="G26" s="3"/>
      <c r="I26" s="4"/>
      <c r="K26" s="4"/>
    </row>
    <row r="27" spans="1:11" x14ac:dyDescent="0.2">
      <c r="A27" s="3">
        <v>100017</v>
      </c>
      <c r="B27" s="3" t="s">
        <v>96</v>
      </c>
      <c r="C27" s="3" t="s">
        <v>98</v>
      </c>
      <c r="D27" s="3" t="s">
        <v>97</v>
      </c>
      <c r="E27" s="8" cm="1">
        <f t="array" ref="E27">getDistance($C$2,$D$2,C27,D27)</f>
        <v>0.52566303635270972</v>
      </c>
      <c r="G27" s="3"/>
      <c r="I27" s="4"/>
      <c r="K27" s="4"/>
    </row>
    <row r="28" spans="1:11" x14ac:dyDescent="0.2">
      <c r="A28" s="3">
        <v>100018</v>
      </c>
      <c r="B28" s="3" t="s">
        <v>99</v>
      </c>
      <c r="C28" s="3" t="s">
        <v>101</v>
      </c>
      <c r="D28" s="3" t="s">
        <v>100</v>
      </c>
      <c r="E28" s="8" cm="1">
        <f t="array" ref="E28">getDistance($C$2,$D$2,C28,D28)</f>
        <v>1.1267320013103732</v>
      </c>
      <c r="G28" s="3"/>
      <c r="I28" s="4"/>
      <c r="K28" s="4"/>
    </row>
    <row r="29" spans="1:11" x14ac:dyDescent="0.2">
      <c r="A29" s="3">
        <v>100019</v>
      </c>
      <c r="B29" s="3" t="s">
        <v>104</v>
      </c>
      <c r="C29" s="3" t="s">
        <v>106</v>
      </c>
      <c r="D29" s="3" t="s">
        <v>105</v>
      </c>
      <c r="E29" s="8" cm="1">
        <f t="array" ref="E29">getDistance($C$2,$D$2,C29,D29)</f>
        <v>0.45082568789878119</v>
      </c>
      <c r="I29" s="4"/>
      <c r="K29" s="4"/>
    </row>
    <row r="30" spans="1:11" x14ac:dyDescent="0.2">
      <c r="A30" s="3">
        <v>100020</v>
      </c>
      <c r="B30" s="3" t="s">
        <v>108</v>
      </c>
      <c r="C30" s="3" t="s">
        <v>110</v>
      </c>
      <c r="D30" s="3" t="s">
        <v>109</v>
      </c>
      <c r="E30" s="8" cm="1">
        <f t="array" ref="E30">getDistance($C$2,$D$2,C30,D30)</f>
        <v>0.64768318750320419</v>
      </c>
      <c r="I30" s="4"/>
      <c r="K30" s="4"/>
    </row>
    <row r="31" spans="1:11" x14ac:dyDescent="0.2">
      <c r="A31" s="3">
        <v>100021</v>
      </c>
      <c r="B31" s="3" t="s">
        <v>111</v>
      </c>
      <c r="C31" s="3" t="s">
        <v>113</v>
      </c>
      <c r="D31" s="3" t="s">
        <v>112</v>
      </c>
      <c r="E31" s="8" cm="1">
        <f t="array" ref="E31">getDistance($C$2,$D$2,C31,D31)</f>
        <v>0.64156147393565</v>
      </c>
      <c r="I31" s="4"/>
      <c r="K31" s="4"/>
    </row>
    <row r="32" spans="1:11" x14ac:dyDescent="0.2">
      <c r="A32" s="3" t="s">
        <v>244</v>
      </c>
      <c r="B32" s="3" t="s">
        <v>115</v>
      </c>
      <c r="C32" s="3" t="s">
        <v>117</v>
      </c>
      <c r="D32" s="3" t="s">
        <v>116</v>
      </c>
      <c r="E32" s="8" cm="1">
        <f t="array" ref="E32">getDistance($C$2,$D$2,C32,D32)</f>
        <v>0.88410965774279904</v>
      </c>
      <c r="I32" s="4"/>
      <c r="K32" s="4"/>
    </row>
    <row r="33" spans="1:11" x14ac:dyDescent="0.2">
      <c r="A33" s="3" t="s">
        <v>245</v>
      </c>
      <c r="B33" s="3" t="s">
        <v>115</v>
      </c>
      <c r="C33" s="3" t="s">
        <v>117</v>
      </c>
      <c r="D33" s="3" t="s">
        <v>116</v>
      </c>
      <c r="E33" s="8" cm="1">
        <f t="array" ref="E33">getDistance($C$2,$D$2,C33,D33)</f>
        <v>0.88410965774279904</v>
      </c>
      <c r="I33" s="4"/>
      <c r="K33" s="4"/>
    </row>
    <row r="34" spans="1:11" x14ac:dyDescent="0.2">
      <c r="A34" s="3" t="s">
        <v>246</v>
      </c>
      <c r="B34" s="3" t="s">
        <v>115</v>
      </c>
      <c r="C34" s="3" t="s">
        <v>117</v>
      </c>
      <c r="D34" s="3" t="s">
        <v>116</v>
      </c>
      <c r="E34" s="8" cm="1">
        <f t="array" ref="E34">getDistance($C$2,$D$2,C34,D34)</f>
        <v>0.88410965774279904</v>
      </c>
      <c r="I34" s="4"/>
      <c r="K34" s="4"/>
    </row>
    <row r="35" spans="1:11" x14ac:dyDescent="0.2">
      <c r="A35" s="3" t="s">
        <v>247</v>
      </c>
      <c r="B35" s="3" t="s">
        <v>115</v>
      </c>
      <c r="C35" s="3" t="s">
        <v>117</v>
      </c>
      <c r="D35" s="3" t="s">
        <v>116</v>
      </c>
      <c r="E35" s="8" cm="1">
        <f t="array" ref="E35">getDistance($C$2,$D$2,C35,D35)</f>
        <v>0.88410965774279904</v>
      </c>
      <c r="I35" s="4"/>
      <c r="K35" s="4"/>
    </row>
    <row r="36" spans="1:11" x14ac:dyDescent="0.2">
      <c r="A36" s="3">
        <v>100023</v>
      </c>
      <c r="B36" s="3" t="s">
        <v>121</v>
      </c>
      <c r="C36" s="3" t="s">
        <v>123</v>
      </c>
      <c r="D36" s="3" t="s">
        <v>122</v>
      </c>
      <c r="E36" s="8" cm="1">
        <f t="array" ref="E36">getDistance($C$2,$D$2,C36,D36)</f>
        <v>0.13988641934329407</v>
      </c>
      <c r="I36" s="4"/>
      <c r="K36" s="4"/>
    </row>
    <row r="37" spans="1:11" x14ac:dyDescent="0.2">
      <c r="A37" s="3">
        <v>100024</v>
      </c>
      <c r="B37" s="3" t="s">
        <v>126</v>
      </c>
      <c r="C37" s="3" t="s">
        <v>128</v>
      </c>
      <c r="D37" s="3" t="s">
        <v>127</v>
      </c>
      <c r="E37" s="8" cm="1">
        <f t="array" ref="E37">getDistance($C$2,$D$2,C37,D37)</f>
        <v>0.80752639116355995</v>
      </c>
      <c r="I37" s="4"/>
      <c r="K37" s="4"/>
    </row>
    <row r="38" spans="1:11" x14ac:dyDescent="0.2">
      <c r="A38" s="3">
        <v>100025</v>
      </c>
      <c r="B38" s="3" t="s">
        <v>130</v>
      </c>
      <c r="C38" s="3" t="s">
        <v>132</v>
      </c>
      <c r="D38" s="3" t="s">
        <v>131</v>
      </c>
      <c r="E38" s="8" cm="1">
        <f t="array" ref="E38">getDistance($C$2,$D$2,C38,D38)</f>
        <v>0.42175270879781357</v>
      </c>
      <c r="I38" s="4"/>
      <c r="K38" s="4"/>
    </row>
    <row r="39" spans="1:11" x14ac:dyDescent="0.2">
      <c r="A39" s="3" t="s">
        <v>248</v>
      </c>
      <c r="B39" s="3" t="s">
        <v>134</v>
      </c>
      <c r="C39" s="3" t="s">
        <v>48</v>
      </c>
      <c r="D39" s="3" t="s">
        <v>47</v>
      </c>
      <c r="E39" s="8" cm="1">
        <f t="array" ref="E39">getDistance($C$2,$D$2,C39,D39)</f>
        <v>0.514494133985542</v>
      </c>
      <c r="I39" s="4"/>
      <c r="K39" s="4"/>
    </row>
    <row r="40" spans="1:11" x14ac:dyDescent="0.2">
      <c r="A40" s="3" t="s">
        <v>249</v>
      </c>
      <c r="B40" s="3" t="s">
        <v>134</v>
      </c>
      <c r="C40" s="3" t="s">
        <v>48</v>
      </c>
      <c r="D40" s="3" t="s">
        <v>47</v>
      </c>
      <c r="E40" s="8" cm="1">
        <f t="array" ref="E40">getDistance($C$2,$D$2,C40,D40)</f>
        <v>0.514494133985542</v>
      </c>
      <c r="I40" s="4"/>
      <c r="K40" s="4"/>
    </row>
    <row r="41" spans="1:11" x14ac:dyDescent="0.2">
      <c r="A41" s="3">
        <v>100027</v>
      </c>
      <c r="B41" s="3" t="s">
        <v>136</v>
      </c>
      <c r="C41" s="3" t="s">
        <v>138</v>
      </c>
      <c r="D41" s="3" t="s">
        <v>137</v>
      </c>
      <c r="E41" s="8" cm="1">
        <f t="array" ref="E41">getDistance($C$2,$D$2,C41,D41)</f>
        <v>0.72488111316939186</v>
      </c>
      <c r="I41" s="4"/>
      <c r="K41" s="4"/>
    </row>
    <row r="42" spans="1:11" x14ac:dyDescent="0.2">
      <c r="A42" s="3">
        <v>100028</v>
      </c>
      <c r="B42" s="3" t="s">
        <v>140</v>
      </c>
      <c r="C42" s="3" t="s">
        <v>68</v>
      </c>
      <c r="D42" s="3" t="s">
        <v>141</v>
      </c>
      <c r="E42" s="8" cm="1">
        <f t="array" ref="E42">getDistance($C$2,$D$2,C42,D42)</f>
        <v>0.52797365719537448</v>
      </c>
      <c r="I42" s="4"/>
      <c r="K42" s="4"/>
    </row>
    <row r="43" spans="1:11" x14ac:dyDescent="0.2">
      <c r="A43" s="3">
        <v>100029</v>
      </c>
      <c r="B43" s="3" t="s">
        <v>144</v>
      </c>
      <c r="C43" s="3" t="s">
        <v>146</v>
      </c>
      <c r="D43" s="3" t="s">
        <v>145</v>
      </c>
      <c r="E43" s="8" cm="1">
        <f t="array" ref="E43">getDistance($C$2,$D$2,C43,D43)</f>
        <v>0.68928301062317543</v>
      </c>
      <c r="I43" s="4"/>
      <c r="K43" s="4"/>
    </row>
    <row r="44" spans="1:11" x14ac:dyDescent="0.2">
      <c r="A44" s="3">
        <v>100030</v>
      </c>
      <c r="B44" s="3" t="s">
        <v>147</v>
      </c>
      <c r="C44" s="3" t="s">
        <v>149</v>
      </c>
      <c r="D44" s="3" t="s">
        <v>148</v>
      </c>
      <c r="E44" s="8" cm="1">
        <f t="array" ref="E44">getDistance($C$2,$D$2,C44,D44)</f>
        <v>1.0671699317120784</v>
      </c>
      <c r="I44" s="4"/>
      <c r="K44" s="4"/>
    </row>
    <row r="45" spans="1:11" x14ac:dyDescent="0.2">
      <c r="A45" s="3">
        <v>100031</v>
      </c>
      <c r="B45" s="3" t="s">
        <v>150</v>
      </c>
      <c r="C45" s="3" t="s">
        <v>152</v>
      </c>
      <c r="D45" s="3" t="s">
        <v>151</v>
      </c>
      <c r="E45" s="8" cm="1">
        <f t="array" ref="E45">getDistance($C$2,$D$2,C45,D45)</f>
        <v>0.18672547178856308</v>
      </c>
      <c r="I45" s="4"/>
      <c r="K45" s="4"/>
    </row>
    <row r="46" spans="1:11" x14ac:dyDescent="0.2">
      <c r="A46" s="3">
        <v>100032</v>
      </c>
      <c r="B46" s="3" t="s">
        <v>154</v>
      </c>
      <c r="C46" s="3" t="s">
        <v>156</v>
      </c>
      <c r="D46" s="3" t="s">
        <v>155</v>
      </c>
      <c r="E46" s="8" cm="1">
        <f t="array" ref="E46">getDistance($C$2,$D$2,C46,D46)</f>
        <v>0.6065258596327695</v>
      </c>
      <c r="I46" s="4"/>
      <c r="K46" s="4"/>
    </row>
    <row r="47" spans="1:11" x14ac:dyDescent="0.2">
      <c r="A47" s="3">
        <v>100033</v>
      </c>
      <c r="B47" s="3" t="s">
        <v>158</v>
      </c>
      <c r="C47" s="3" t="s">
        <v>159</v>
      </c>
      <c r="D47" s="3" t="s">
        <v>39</v>
      </c>
      <c r="E47" s="8" cm="1">
        <f t="array" ref="E47">getDistance($C$2,$D$2,C47,D47)</f>
        <v>0.77281693198386148</v>
      </c>
      <c r="I47" s="4"/>
      <c r="K47" s="4"/>
    </row>
    <row r="48" spans="1:11" x14ac:dyDescent="0.2">
      <c r="A48" s="3">
        <v>100034</v>
      </c>
      <c r="B48" s="3" t="s">
        <v>162</v>
      </c>
      <c r="C48" s="3" t="s">
        <v>163</v>
      </c>
      <c r="D48" s="3" t="s">
        <v>127</v>
      </c>
      <c r="E48" s="8" cm="1">
        <f t="array" ref="E48">getDistance($C$2,$D$2,C48,D48)</f>
        <v>0.55428040825431235</v>
      </c>
      <c r="I48" s="4"/>
      <c r="K48" s="4"/>
    </row>
    <row r="49" spans="1:11" x14ac:dyDescent="0.2">
      <c r="A49" s="3" t="s">
        <v>203</v>
      </c>
      <c r="B49" s="3" t="s">
        <v>202</v>
      </c>
      <c r="C49" s="3">
        <v>47.421420500000004</v>
      </c>
      <c r="D49" s="3">
        <v>9.3731755999999997</v>
      </c>
      <c r="E49" s="8" cm="1">
        <f t="array" ref="E49">getDistance($C$2,$D$2,C49,D49)</f>
        <v>63.03607008120904</v>
      </c>
      <c r="I49" s="4"/>
      <c r="K49" s="4"/>
    </row>
    <row r="50" spans="1:11" x14ac:dyDescent="0.2">
      <c r="A50" s="3" t="s">
        <v>208</v>
      </c>
      <c r="B50" s="3" t="s">
        <v>207</v>
      </c>
      <c r="C50" s="3" t="s">
        <v>211</v>
      </c>
      <c r="D50" s="3" t="s">
        <v>212</v>
      </c>
      <c r="E50" s="8" cm="1">
        <f t="array" ref="E50">getDistance($C$2,$D$2,C50,D50)</f>
        <v>63.405127620305684</v>
      </c>
      <c r="I50" s="4"/>
      <c r="K50" s="4"/>
    </row>
    <row r="51" spans="1:11" x14ac:dyDescent="0.2">
      <c r="A51" s="3" t="s">
        <v>213</v>
      </c>
      <c r="B51" s="3" t="s">
        <v>250</v>
      </c>
      <c r="C51" s="3" t="s">
        <v>211</v>
      </c>
      <c r="D51" s="3" t="s">
        <v>214</v>
      </c>
      <c r="E51" s="8" cm="1">
        <f t="array" ref="E51">getDistance($C$2,$D$2,C51,D51)</f>
        <v>63.240655428376961</v>
      </c>
      <c r="I51" s="4"/>
      <c r="K51" s="4"/>
    </row>
    <row r="52" spans="1:11" x14ac:dyDescent="0.2">
      <c r="A52" s="3" t="s">
        <v>218</v>
      </c>
      <c r="B52" t="s">
        <v>217</v>
      </c>
      <c r="C52" s="3" t="s">
        <v>219</v>
      </c>
      <c r="D52" s="3" t="s">
        <v>220</v>
      </c>
      <c r="E52" s="8" cm="1">
        <f t="array" ref="E52">getDistance($C$2,$D$2,C52,D52)</f>
        <v>74.844552785261953</v>
      </c>
      <c r="I52" s="4"/>
      <c r="K52" s="4"/>
    </row>
    <row r="53" spans="1:11" x14ac:dyDescent="0.2">
      <c r="A53" s="3" t="s">
        <v>237</v>
      </c>
      <c r="B53" t="s">
        <v>224</v>
      </c>
      <c r="C53" s="3" t="s">
        <v>219</v>
      </c>
      <c r="D53" s="3" t="s">
        <v>220</v>
      </c>
      <c r="E53" s="8" cm="1">
        <f t="array" ref="E53">getDistance($C$2,$D$2,C53,D53)</f>
        <v>74.844552785261953</v>
      </c>
      <c r="I53" s="4"/>
      <c r="K53" s="4"/>
    </row>
    <row r="54" spans="1:11" x14ac:dyDescent="0.2">
      <c r="A54" s="3" t="s">
        <v>228</v>
      </c>
      <c r="B54" t="s">
        <v>227</v>
      </c>
      <c r="C54" s="3" t="s">
        <v>239</v>
      </c>
      <c r="D54" s="3" t="s">
        <v>240</v>
      </c>
      <c r="E54" s="8" cm="1">
        <f t="array" ref="E54">getDistance($C$2,$D$2,C54,D54)</f>
        <v>95.466916505870074</v>
      </c>
      <c r="I54" s="4"/>
      <c r="K54" s="4"/>
    </row>
    <row r="55" spans="1:11" x14ac:dyDescent="0.2">
      <c r="A55" s="3" t="s">
        <v>236</v>
      </c>
      <c r="B55" t="s">
        <v>234</v>
      </c>
      <c r="C55" s="3" t="s">
        <v>239</v>
      </c>
      <c r="D55" s="3" t="s">
        <v>240</v>
      </c>
      <c r="E55" s="8" cm="1">
        <f t="array" ref="E55">getDistance($C$2,$D$2,C55,D55)</f>
        <v>95.466916505870074</v>
      </c>
      <c r="I55" s="4"/>
      <c r="K55" s="4"/>
    </row>
    <row r="56" spans="1:11" x14ac:dyDescent="0.2">
      <c r="A56" s="3" t="s">
        <v>236</v>
      </c>
      <c r="B56" t="s">
        <v>238</v>
      </c>
      <c r="C56" s="3" t="s">
        <v>239</v>
      </c>
      <c r="D56" s="3" t="s">
        <v>240</v>
      </c>
      <c r="E56" s="8" cm="1">
        <f t="array" ref="E56">getDistance($C$2,$D$2,C56,D56)</f>
        <v>95.466916505870074</v>
      </c>
      <c r="I56" s="4"/>
      <c r="K56" s="4"/>
    </row>
    <row r="57" spans="1:11" x14ac:dyDescent="0.2">
      <c r="A57" s="3"/>
      <c r="I57" s="4"/>
      <c r="K57" s="4"/>
    </row>
    <row r="58" spans="1:11" x14ac:dyDescent="0.2">
      <c r="A58" s="3"/>
      <c r="I58" s="4"/>
      <c r="K58" s="4"/>
    </row>
    <row r="59" spans="1:11" x14ac:dyDescent="0.2">
      <c r="A59" s="3"/>
      <c r="I59" s="4"/>
      <c r="K59" s="4"/>
    </row>
    <row r="60" spans="1:11" x14ac:dyDescent="0.2">
      <c r="A60" s="3"/>
      <c r="I60" s="4"/>
      <c r="K60" s="4"/>
    </row>
    <row r="61" spans="1:11" x14ac:dyDescent="0.2">
      <c r="A61" s="3"/>
      <c r="I61" s="4"/>
      <c r="K61" s="4"/>
    </row>
    <row r="62" spans="1:11" x14ac:dyDescent="0.2">
      <c r="A62" s="3"/>
      <c r="I62" s="4"/>
      <c r="K62" s="4"/>
    </row>
    <row r="63" spans="1:11" x14ac:dyDescent="0.2">
      <c r="A63" s="3"/>
      <c r="I63" s="4"/>
      <c r="K63" s="4"/>
    </row>
    <row r="64" spans="1:1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6F6A8-3965-7B43-9635-B9C4417B5702}">
  <sheetPr codeName="Sheet10"/>
  <dimension ref="A1:V68"/>
  <sheetViews>
    <sheetView zoomScale="120" zoomScaleNormal="120" workbookViewId="0">
      <selection activeCell="E4" sqref="E4:E56"/>
    </sheetView>
  </sheetViews>
  <sheetFormatPr baseColWidth="10" defaultColWidth="11.5" defaultRowHeight="15" x14ac:dyDescent="0.2"/>
  <cols>
    <col min="1" max="1" width="13.6640625" bestFit="1" customWidth="1"/>
    <col min="2" max="2" width="29.1640625" bestFit="1" customWidth="1"/>
    <col min="3" max="3" width="11.33203125" bestFit="1" customWidth="1"/>
    <col min="4" max="4" width="10.6640625" bestFit="1" customWidth="1"/>
    <col min="5" max="5" width="11.1640625" customWidth="1"/>
    <col min="6" max="6" width="14.33203125" bestFit="1" customWidth="1"/>
    <col min="7" max="7" width="4.83203125" customWidth="1"/>
  </cols>
  <sheetData>
    <row r="1" spans="1:22" ht="17" customHeight="1" x14ac:dyDescent="0.2">
      <c r="A1" s="1" t="s">
        <v>251</v>
      </c>
      <c r="B1" s="1" t="s">
        <v>257</v>
      </c>
      <c r="C1" s="1" t="s">
        <v>4</v>
      </c>
      <c r="D1" s="1" t="s">
        <v>3</v>
      </c>
      <c r="E1" s="1" t="s">
        <v>275</v>
      </c>
      <c r="F1" s="1" t="s">
        <v>263</v>
      </c>
    </row>
    <row r="2" spans="1:22" x14ac:dyDescent="0.2">
      <c r="A2" s="3" t="s">
        <v>253</v>
      </c>
      <c r="B2" t="s">
        <v>259</v>
      </c>
      <c r="C2">
        <v>47.369575099999999</v>
      </c>
      <c r="D2">
        <v>8.5388964000000005</v>
      </c>
      <c r="E2" s="3"/>
      <c r="F2" t="s">
        <v>277</v>
      </c>
    </row>
    <row r="3" spans="1:22" x14ac:dyDescent="0.2">
      <c r="A3" s="1" t="s">
        <v>0</v>
      </c>
      <c r="B3" s="1" t="s">
        <v>2</v>
      </c>
      <c r="C3" s="1" t="s">
        <v>4</v>
      </c>
      <c r="D3" s="1" t="s">
        <v>3</v>
      </c>
    </row>
    <row r="4" spans="1:22" x14ac:dyDescent="0.2">
      <c r="A4" s="3" t="s">
        <v>191</v>
      </c>
      <c r="B4" s="3" t="s">
        <v>28</v>
      </c>
      <c r="C4" s="3" t="s">
        <v>30</v>
      </c>
      <c r="D4" s="3" t="s">
        <v>29</v>
      </c>
      <c r="E4" s="8" cm="1">
        <f t="array" ref="E4">getDistance($C$2,$D$2,C4,D4)</f>
        <v>0.39335769619835681</v>
      </c>
    </row>
    <row r="5" spans="1:22" x14ac:dyDescent="0.2">
      <c r="A5" s="3" t="s">
        <v>192</v>
      </c>
      <c r="B5" s="3" t="s">
        <v>28</v>
      </c>
      <c r="C5" s="3" t="s">
        <v>30</v>
      </c>
      <c r="D5" s="3" t="s">
        <v>29</v>
      </c>
      <c r="E5" s="8" cm="1">
        <f t="array" ref="E5">getDistance($C$2,$D$2,C5,D5)</f>
        <v>0.39335769619835681</v>
      </c>
      <c r="K5" t="s">
        <v>276</v>
      </c>
    </row>
    <row r="6" spans="1:22" x14ac:dyDescent="0.2">
      <c r="A6" s="3" t="s">
        <v>193</v>
      </c>
      <c r="B6" s="3" t="s">
        <v>28</v>
      </c>
      <c r="C6" s="3" t="s">
        <v>30</v>
      </c>
      <c r="D6" s="3" t="s">
        <v>29</v>
      </c>
      <c r="E6" s="8" cm="1">
        <f t="array" ref="E6">getDistance($C$2,$D$2,C6,D6)</f>
        <v>0.39335769619835681</v>
      </c>
    </row>
    <row r="7" spans="1:22" x14ac:dyDescent="0.2">
      <c r="A7" s="3" t="s">
        <v>194</v>
      </c>
      <c r="B7" s="3" t="s">
        <v>38</v>
      </c>
      <c r="C7" s="3" t="s">
        <v>40</v>
      </c>
      <c r="D7" s="3" t="s">
        <v>39</v>
      </c>
      <c r="E7" s="8" cm="1">
        <f t="array" ref="E7">getDistance($C$2,$D$2,C7,D7)</f>
        <v>0.5762487761566778</v>
      </c>
    </row>
    <row r="8" spans="1:22" x14ac:dyDescent="0.2">
      <c r="A8" s="3" t="s">
        <v>197</v>
      </c>
      <c r="B8" s="3" t="s">
        <v>38</v>
      </c>
      <c r="C8" s="3" t="s">
        <v>40</v>
      </c>
      <c r="D8" s="3" t="s">
        <v>39</v>
      </c>
      <c r="E8" s="8" cm="1">
        <f t="array" ref="E8">getDistance($C$2,$D$2,C8,D8)</f>
        <v>0.5762487761566778</v>
      </c>
    </row>
    <row r="9" spans="1:22" x14ac:dyDescent="0.2">
      <c r="A9" s="3" t="s">
        <v>198</v>
      </c>
      <c r="B9" s="3" t="s">
        <v>38</v>
      </c>
      <c r="C9" s="3" t="s">
        <v>40</v>
      </c>
      <c r="D9" s="3" t="s">
        <v>39</v>
      </c>
      <c r="E9" s="8" cm="1">
        <f t="array" ref="E9">getDistance($C$2,$D$2,C9,D9)</f>
        <v>0.5762487761566778</v>
      </c>
    </row>
    <row r="10" spans="1:22" ht="17" customHeight="1" x14ac:dyDescent="0.2">
      <c r="A10" s="3" t="s">
        <v>199</v>
      </c>
      <c r="B10" s="3" t="s">
        <v>38</v>
      </c>
      <c r="C10" s="3" t="s">
        <v>40</v>
      </c>
      <c r="D10" s="3" t="s">
        <v>39</v>
      </c>
      <c r="E10" s="8" cm="1">
        <f t="array" ref="E10">getDistance($C$2,$D$2,C10,D10)</f>
        <v>0.5762487761566778</v>
      </c>
      <c r="V10" s="2"/>
    </row>
    <row r="11" spans="1:22" x14ac:dyDescent="0.2">
      <c r="A11" s="3" t="s">
        <v>195</v>
      </c>
      <c r="B11" s="3" t="s">
        <v>42</v>
      </c>
      <c r="C11" s="3" t="s">
        <v>44</v>
      </c>
      <c r="D11" s="3" t="s">
        <v>43</v>
      </c>
      <c r="E11" s="8" cm="1">
        <f t="array" ref="E11">getDistance($C$2,$D$2,C11,D11)</f>
        <v>1.1862691234051981</v>
      </c>
      <c r="G11" s="4"/>
    </row>
    <row r="12" spans="1:22" x14ac:dyDescent="0.2">
      <c r="A12" s="3" t="s">
        <v>200</v>
      </c>
      <c r="B12" s="3" t="s">
        <v>42</v>
      </c>
      <c r="C12" s="3" t="s">
        <v>44</v>
      </c>
      <c r="D12" s="3" t="s">
        <v>43</v>
      </c>
      <c r="E12" s="8" cm="1">
        <f t="array" ref="E12">getDistance($C$2,$D$2,C12,D12)</f>
        <v>1.1862691234051981</v>
      </c>
      <c r="G12" s="3"/>
    </row>
    <row r="13" spans="1:22" x14ac:dyDescent="0.2">
      <c r="A13" s="3" t="s">
        <v>196</v>
      </c>
      <c r="B13" s="3" t="s">
        <v>46</v>
      </c>
      <c r="C13" s="3" t="s">
        <v>48</v>
      </c>
      <c r="D13" s="3" t="s">
        <v>47</v>
      </c>
      <c r="E13" s="8" cm="1">
        <f t="array" ref="E13">getDistance($C$2,$D$2,C13,D13)</f>
        <v>0.84472131563495312</v>
      </c>
      <c r="G13" s="3"/>
    </row>
    <row r="14" spans="1:22" x14ac:dyDescent="0.2">
      <c r="A14" s="3" t="s">
        <v>201</v>
      </c>
      <c r="B14" s="3" t="s">
        <v>46</v>
      </c>
      <c r="C14" s="3" t="s">
        <v>48</v>
      </c>
      <c r="D14" s="3" t="s">
        <v>47</v>
      </c>
      <c r="E14" s="8" cm="1">
        <f t="array" ref="E14">getDistance($C$2,$D$2,C14,D14)</f>
        <v>0.84472131563495312</v>
      </c>
      <c r="G14" s="3"/>
    </row>
    <row r="15" spans="1:22" x14ac:dyDescent="0.2">
      <c r="A15" s="3" t="s">
        <v>243</v>
      </c>
      <c r="B15" s="3" t="s">
        <v>50</v>
      </c>
      <c r="C15" s="3" t="s">
        <v>52</v>
      </c>
      <c r="D15" s="3" t="s">
        <v>51</v>
      </c>
      <c r="E15" s="8" cm="1">
        <f t="array" ref="E15">getDistance($C$2,$D$2,C15,D15)</f>
        <v>0.6702381333117704</v>
      </c>
      <c r="I15" s="4"/>
    </row>
    <row r="16" spans="1:22" x14ac:dyDescent="0.2">
      <c r="A16" s="3">
        <v>100006</v>
      </c>
      <c r="B16" s="3" t="s">
        <v>54</v>
      </c>
      <c r="C16" s="3" t="s">
        <v>56</v>
      </c>
      <c r="D16" s="3" t="s">
        <v>55</v>
      </c>
      <c r="E16" s="8" cm="1">
        <f t="array" ref="E16">getDistance($C$2,$D$2,C16,D16)</f>
        <v>0.75444054035188901</v>
      </c>
      <c r="I16" s="4"/>
    </row>
    <row r="17" spans="1:11" x14ac:dyDescent="0.2">
      <c r="A17" s="3">
        <v>100007</v>
      </c>
      <c r="B17" s="3" t="s">
        <v>58</v>
      </c>
      <c r="C17" s="3" t="s">
        <v>60</v>
      </c>
      <c r="D17" s="3" t="s">
        <v>59</v>
      </c>
      <c r="E17" s="8" cm="1">
        <f t="array" ref="E17">getDistance($C$2,$D$2,C17,D17)</f>
        <v>0.34601422130198034</v>
      </c>
      <c r="I17" s="4"/>
    </row>
    <row r="18" spans="1:11" x14ac:dyDescent="0.2">
      <c r="A18" s="3">
        <v>100008</v>
      </c>
      <c r="B18" s="3" t="s">
        <v>62</v>
      </c>
      <c r="C18" s="3" t="s">
        <v>64</v>
      </c>
      <c r="D18" s="3" t="s">
        <v>63</v>
      </c>
      <c r="E18" s="8" cm="1">
        <f t="array" ref="E18">getDistance($C$2,$D$2,C18,D18)</f>
        <v>1.1429262501367359</v>
      </c>
      <c r="I18" s="4"/>
    </row>
    <row r="19" spans="1:11" x14ac:dyDescent="0.2">
      <c r="A19" s="3">
        <v>100009</v>
      </c>
      <c r="B19" s="3" t="s">
        <v>66</v>
      </c>
      <c r="C19" s="3" t="s">
        <v>68</v>
      </c>
      <c r="D19" s="3" t="s">
        <v>67</v>
      </c>
      <c r="E19" s="8" cm="1">
        <f t="array" ref="E19">getDistance($C$2,$D$2,C19,D19)</f>
        <v>0.53875445250870102</v>
      </c>
      <c r="I19" s="4"/>
    </row>
    <row r="20" spans="1:11" x14ac:dyDescent="0.2">
      <c r="A20" s="3">
        <v>100010</v>
      </c>
      <c r="B20" s="3" t="s">
        <v>70</v>
      </c>
      <c r="C20" s="3" t="s">
        <v>72</v>
      </c>
      <c r="D20" s="3" t="s">
        <v>71</v>
      </c>
      <c r="E20" s="8" cm="1">
        <f t="array" ref="E20">getDistance($C$2,$D$2,C20,D20)</f>
        <v>0.75894682445406692</v>
      </c>
      <c r="I20" s="4"/>
    </row>
    <row r="21" spans="1:11" x14ac:dyDescent="0.2">
      <c r="A21" s="3">
        <v>100011</v>
      </c>
      <c r="B21" s="3" t="s">
        <v>73</v>
      </c>
      <c r="C21" s="3" t="s">
        <v>75</v>
      </c>
      <c r="D21" s="3" t="s">
        <v>74</v>
      </c>
      <c r="E21" s="8" cm="1">
        <f t="array" ref="E21">getDistance($C$2,$D$2,C21,D21)</f>
        <v>1.1669204758603688</v>
      </c>
      <c r="I21" s="4"/>
    </row>
    <row r="22" spans="1:11" x14ac:dyDescent="0.2">
      <c r="A22" s="3">
        <v>100012</v>
      </c>
      <c r="B22" s="3" t="s">
        <v>76</v>
      </c>
      <c r="C22" s="3" t="s">
        <v>78</v>
      </c>
      <c r="D22" s="3" t="s">
        <v>77</v>
      </c>
      <c r="E22" s="8" cm="1">
        <f t="array" ref="E22">getDistance($C$2,$D$2,C22,D22)</f>
        <v>0.58320360888632183</v>
      </c>
      <c r="I22" s="4"/>
    </row>
    <row r="23" spans="1:11" x14ac:dyDescent="0.2">
      <c r="A23" s="3">
        <v>100013</v>
      </c>
      <c r="B23" s="3" t="s">
        <v>80</v>
      </c>
      <c r="C23" s="3" t="s">
        <v>82</v>
      </c>
      <c r="D23" s="3" t="s">
        <v>81</v>
      </c>
      <c r="E23" s="8" cm="1">
        <f t="array" ref="E23">getDistance($C$2,$D$2,C23,D23)</f>
        <v>0.41839167137854638</v>
      </c>
      <c r="I23" s="4"/>
    </row>
    <row r="24" spans="1:11" x14ac:dyDescent="0.2">
      <c r="A24" s="3">
        <v>100014</v>
      </c>
      <c r="B24" s="3" t="s">
        <v>84</v>
      </c>
      <c r="C24" s="3" t="s">
        <v>86</v>
      </c>
      <c r="D24" s="3" t="s">
        <v>85</v>
      </c>
      <c r="E24" s="8" cm="1">
        <f t="array" ref="E24">getDistance($C$2,$D$2,C24,D24)</f>
        <v>0.70403548233121005</v>
      </c>
      <c r="I24" s="4"/>
    </row>
    <row r="25" spans="1:11" x14ac:dyDescent="0.2">
      <c r="A25" s="3">
        <v>100015</v>
      </c>
      <c r="B25" s="3" t="s">
        <v>88</v>
      </c>
      <c r="C25" s="3" t="s">
        <v>90</v>
      </c>
      <c r="D25" s="3" t="s">
        <v>89</v>
      </c>
      <c r="E25" s="8" cm="1">
        <f t="array" ref="E25">getDistance($C$2,$D$2,C25,D25)</f>
        <v>0.75408336533674791</v>
      </c>
      <c r="G25" s="3"/>
      <c r="I25" s="4"/>
    </row>
    <row r="26" spans="1:11" x14ac:dyDescent="0.2">
      <c r="A26" s="3">
        <v>100016</v>
      </c>
      <c r="B26" s="3" t="s">
        <v>92</v>
      </c>
      <c r="C26" s="3" t="s">
        <v>94</v>
      </c>
      <c r="D26" s="3" t="s">
        <v>93</v>
      </c>
      <c r="E26" s="8" cm="1">
        <f t="array" ref="E26">getDistance($C$2,$D$2,C26,D26)</f>
        <v>1.1970850881676145</v>
      </c>
      <c r="G26" s="3"/>
      <c r="I26" s="4"/>
      <c r="K26" s="4"/>
    </row>
    <row r="27" spans="1:11" x14ac:dyDescent="0.2">
      <c r="A27" s="3">
        <v>100017</v>
      </c>
      <c r="B27" s="3" t="s">
        <v>96</v>
      </c>
      <c r="C27" s="3" t="s">
        <v>98</v>
      </c>
      <c r="D27" s="3" t="s">
        <v>97</v>
      </c>
      <c r="E27" s="8" cm="1">
        <f t="array" ref="E27">getDistance($C$2,$D$2,C27,D27)</f>
        <v>0.79261481126262334</v>
      </c>
      <c r="G27" s="3"/>
      <c r="I27" s="4"/>
      <c r="K27" s="4"/>
    </row>
    <row r="28" spans="1:11" x14ac:dyDescent="0.2">
      <c r="A28" s="3">
        <v>100018</v>
      </c>
      <c r="B28" s="3" t="s">
        <v>99</v>
      </c>
      <c r="C28" s="3" t="s">
        <v>101</v>
      </c>
      <c r="D28" s="3" t="s">
        <v>100</v>
      </c>
      <c r="E28" s="8" cm="1">
        <f t="array" ref="E28">getDistance($C$2,$D$2,C28,D28)</f>
        <v>0.43993180323910136</v>
      </c>
      <c r="G28" s="3"/>
      <c r="I28" s="4"/>
      <c r="K28" s="4"/>
    </row>
    <row r="29" spans="1:11" x14ac:dyDescent="0.2">
      <c r="A29" s="3">
        <v>100019</v>
      </c>
      <c r="B29" s="3" t="s">
        <v>104</v>
      </c>
      <c r="C29" s="3" t="s">
        <v>106</v>
      </c>
      <c r="D29" s="3" t="s">
        <v>105</v>
      </c>
      <c r="E29" s="8" cm="1">
        <f t="array" ref="E29">getDistance($C$2,$D$2,C29,D29)</f>
        <v>1.1745892798686501</v>
      </c>
      <c r="I29" s="4"/>
      <c r="K29" s="4"/>
    </row>
    <row r="30" spans="1:11" x14ac:dyDescent="0.2">
      <c r="A30" s="3">
        <v>100020</v>
      </c>
      <c r="B30" s="3" t="s">
        <v>108</v>
      </c>
      <c r="C30" s="3" t="s">
        <v>110</v>
      </c>
      <c r="D30" s="3" t="s">
        <v>109</v>
      </c>
      <c r="E30" s="8" cm="1">
        <f t="array" ref="E30">getDistance($C$2,$D$2,C30,D30)</f>
        <v>0.55687896481093146</v>
      </c>
      <c r="I30" s="4"/>
      <c r="K30" s="4"/>
    </row>
    <row r="31" spans="1:11" x14ac:dyDescent="0.2">
      <c r="A31" s="3">
        <v>100021</v>
      </c>
      <c r="B31" s="3" t="s">
        <v>111</v>
      </c>
      <c r="C31" s="3" t="s">
        <v>113</v>
      </c>
      <c r="D31" s="3" t="s">
        <v>112</v>
      </c>
      <c r="E31" s="8" cm="1">
        <f t="array" ref="E31">getDistance($C$2,$D$2,C31,D31)</f>
        <v>0.82533844648392674</v>
      </c>
      <c r="I31" s="4"/>
      <c r="K31" s="4"/>
    </row>
    <row r="32" spans="1:11" x14ac:dyDescent="0.2">
      <c r="A32" s="3" t="s">
        <v>244</v>
      </c>
      <c r="B32" s="3" t="s">
        <v>115</v>
      </c>
      <c r="C32" s="3" t="s">
        <v>117</v>
      </c>
      <c r="D32" s="3" t="s">
        <v>116</v>
      </c>
      <c r="E32" s="8" cm="1">
        <f t="array" ref="E32">getDistance($C$2,$D$2,C32,D32)</f>
        <v>6.9398533335912449E-2</v>
      </c>
      <c r="I32" s="4"/>
      <c r="K32" s="4"/>
    </row>
    <row r="33" spans="1:11" x14ac:dyDescent="0.2">
      <c r="A33" s="3" t="s">
        <v>245</v>
      </c>
      <c r="B33" s="3" t="s">
        <v>115</v>
      </c>
      <c r="C33" s="3" t="s">
        <v>117</v>
      </c>
      <c r="D33" s="3" t="s">
        <v>116</v>
      </c>
      <c r="E33" s="8" cm="1">
        <f t="array" ref="E33">getDistance($C$2,$D$2,C33,D33)</f>
        <v>6.9398533335912449E-2</v>
      </c>
      <c r="I33" s="4"/>
      <c r="K33" s="4"/>
    </row>
    <row r="34" spans="1:11" x14ac:dyDescent="0.2">
      <c r="A34" s="3" t="s">
        <v>246</v>
      </c>
      <c r="B34" s="3" t="s">
        <v>115</v>
      </c>
      <c r="C34" s="3" t="s">
        <v>117</v>
      </c>
      <c r="D34" s="3" t="s">
        <v>116</v>
      </c>
      <c r="E34" s="8" cm="1">
        <f t="array" ref="E34">getDistance($C$2,$D$2,C34,D34)</f>
        <v>6.9398533335912449E-2</v>
      </c>
      <c r="I34" s="4"/>
      <c r="K34" s="4"/>
    </row>
    <row r="35" spans="1:11" x14ac:dyDescent="0.2">
      <c r="A35" s="3" t="s">
        <v>247</v>
      </c>
      <c r="B35" s="3" t="s">
        <v>115</v>
      </c>
      <c r="C35" s="3" t="s">
        <v>117</v>
      </c>
      <c r="D35" s="3" t="s">
        <v>116</v>
      </c>
      <c r="E35" s="8" cm="1">
        <f t="array" ref="E35">getDistance($C$2,$D$2,C35,D35)</f>
        <v>6.9398533335912449E-2</v>
      </c>
      <c r="I35" s="4"/>
      <c r="K35" s="4"/>
    </row>
    <row r="36" spans="1:11" x14ac:dyDescent="0.2">
      <c r="A36" s="3">
        <v>100023</v>
      </c>
      <c r="B36" s="3" t="s">
        <v>121</v>
      </c>
      <c r="C36" s="3" t="s">
        <v>123</v>
      </c>
      <c r="D36" s="3" t="s">
        <v>122</v>
      </c>
      <c r="E36" s="8" cm="1">
        <f t="array" ref="E36">getDistance($C$2,$D$2,C36,D36)</f>
        <v>0.82333143683142163</v>
      </c>
      <c r="I36" s="4"/>
      <c r="K36" s="4"/>
    </row>
    <row r="37" spans="1:11" x14ac:dyDescent="0.2">
      <c r="A37" s="3">
        <v>100024</v>
      </c>
      <c r="B37" s="3" t="s">
        <v>126</v>
      </c>
      <c r="C37" s="3" t="s">
        <v>128</v>
      </c>
      <c r="D37" s="3" t="s">
        <v>127</v>
      </c>
      <c r="E37" s="8" cm="1">
        <f t="array" ref="E37">getDistance($C$2,$D$2,C37,D37)</f>
        <v>0.19023772811228043</v>
      </c>
      <c r="I37" s="4"/>
      <c r="K37" s="4"/>
    </row>
    <row r="38" spans="1:11" x14ac:dyDescent="0.2">
      <c r="A38" s="3">
        <v>100025</v>
      </c>
      <c r="B38" s="3" t="s">
        <v>130</v>
      </c>
      <c r="C38" s="3" t="s">
        <v>132</v>
      </c>
      <c r="D38" s="3" t="s">
        <v>131</v>
      </c>
      <c r="E38" s="8" cm="1">
        <f t="array" ref="E38">getDistance($C$2,$D$2,C38,D38)</f>
        <v>0.90144798583892316</v>
      </c>
      <c r="I38" s="4"/>
      <c r="K38" s="4"/>
    </row>
    <row r="39" spans="1:11" x14ac:dyDescent="0.2">
      <c r="A39" s="3" t="s">
        <v>248</v>
      </c>
      <c r="B39" s="3" t="s">
        <v>134</v>
      </c>
      <c r="C39" s="3" t="s">
        <v>48</v>
      </c>
      <c r="D39" s="3" t="s">
        <v>47</v>
      </c>
      <c r="E39" s="8" cm="1">
        <f t="array" ref="E39">getDistance($C$2,$D$2,C39,D39)</f>
        <v>0.84472131563495312</v>
      </c>
      <c r="I39" s="4"/>
      <c r="K39" s="4"/>
    </row>
    <row r="40" spans="1:11" x14ac:dyDescent="0.2">
      <c r="A40" s="3" t="s">
        <v>249</v>
      </c>
      <c r="B40" s="3" t="s">
        <v>134</v>
      </c>
      <c r="C40" s="3" t="s">
        <v>48</v>
      </c>
      <c r="D40" s="3" t="s">
        <v>47</v>
      </c>
      <c r="E40" s="8" cm="1">
        <f t="array" ref="E40">getDistance($C$2,$D$2,C40,D40)</f>
        <v>0.84472131563495312</v>
      </c>
      <c r="I40" s="4"/>
      <c r="K40" s="4"/>
    </row>
    <row r="41" spans="1:11" x14ac:dyDescent="0.2">
      <c r="A41" s="3">
        <v>100027</v>
      </c>
      <c r="B41" s="3" t="s">
        <v>136</v>
      </c>
      <c r="C41" s="3" t="s">
        <v>138</v>
      </c>
      <c r="D41" s="3" t="s">
        <v>137</v>
      </c>
      <c r="E41" s="8" cm="1">
        <f t="array" ref="E41">getDistance($C$2,$D$2,C41,D41)</f>
        <v>0.32475277221931187</v>
      </c>
      <c r="I41" s="4"/>
      <c r="K41" s="4"/>
    </row>
    <row r="42" spans="1:11" x14ac:dyDescent="0.2">
      <c r="A42" s="3">
        <v>100028</v>
      </c>
      <c r="B42" s="3" t="s">
        <v>140</v>
      </c>
      <c r="C42" s="3" t="s">
        <v>68</v>
      </c>
      <c r="D42" s="3" t="s">
        <v>141</v>
      </c>
      <c r="E42" s="8" cm="1">
        <f t="array" ref="E42">getDistance($C$2,$D$2,C42,D42)</f>
        <v>0.43048741812298325</v>
      </c>
      <c r="I42" s="4"/>
      <c r="K42" s="4"/>
    </row>
    <row r="43" spans="1:11" x14ac:dyDescent="0.2">
      <c r="A43" s="3">
        <v>100029</v>
      </c>
      <c r="B43" s="3" t="s">
        <v>144</v>
      </c>
      <c r="C43" s="3" t="s">
        <v>146</v>
      </c>
      <c r="D43" s="3" t="s">
        <v>145</v>
      </c>
      <c r="E43" s="8" cm="1">
        <f t="array" ref="E43">getDistance($C$2,$D$2,C43,D43)</f>
        <v>0.54207560015804035</v>
      </c>
      <c r="I43" s="4"/>
      <c r="K43" s="4"/>
    </row>
    <row r="44" spans="1:11" x14ac:dyDescent="0.2">
      <c r="A44" s="3">
        <v>100030</v>
      </c>
      <c r="B44" s="3" t="s">
        <v>147</v>
      </c>
      <c r="C44" s="3" t="s">
        <v>149</v>
      </c>
      <c r="D44" s="3" t="s">
        <v>148</v>
      </c>
      <c r="E44" s="8" cm="1">
        <f t="array" ref="E44">getDistance($C$2,$D$2,C44,D44)</f>
        <v>0.39186334284636171</v>
      </c>
      <c r="I44" s="4"/>
      <c r="K44" s="4"/>
    </row>
    <row r="45" spans="1:11" x14ac:dyDescent="0.2">
      <c r="A45" s="3">
        <v>100031</v>
      </c>
      <c r="B45" s="3" t="s">
        <v>150</v>
      </c>
      <c r="C45" s="3" t="s">
        <v>152</v>
      </c>
      <c r="D45" s="3" t="s">
        <v>151</v>
      </c>
      <c r="E45" s="8" cm="1">
        <f t="array" ref="E45">getDistance($C$2,$D$2,C45,D45)</f>
        <v>0.76091460272617906</v>
      </c>
      <c r="I45" s="4"/>
      <c r="K45" s="4"/>
    </row>
    <row r="46" spans="1:11" x14ac:dyDescent="0.2">
      <c r="A46" s="3">
        <v>100032</v>
      </c>
      <c r="B46" s="3" t="s">
        <v>154</v>
      </c>
      <c r="C46" s="3" t="s">
        <v>156</v>
      </c>
      <c r="D46" s="3" t="s">
        <v>155</v>
      </c>
      <c r="E46" s="8" cm="1">
        <f t="array" ref="E46">getDistance($C$2,$D$2,C46,D46)</f>
        <v>0.3364875971128915</v>
      </c>
      <c r="I46" s="4"/>
      <c r="K46" s="4"/>
    </row>
    <row r="47" spans="1:11" x14ac:dyDescent="0.2">
      <c r="A47" s="3">
        <v>100033</v>
      </c>
      <c r="B47" s="3" t="s">
        <v>158</v>
      </c>
      <c r="C47" s="3" t="s">
        <v>159</v>
      </c>
      <c r="D47" s="3" t="s">
        <v>39</v>
      </c>
      <c r="E47" s="8" cm="1">
        <f t="array" ref="E47">getDistance($C$2,$D$2,C47,D47)</f>
        <v>0.45063977198309263</v>
      </c>
      <c r="I47" s="4"/>
      <c r="K47" s="4"/>
    </row>
    <row r="48" spans="1:11" x14ac:dyDescent="0.2">
      <c r="A48" s="3">
        <v>100034</v>
      </c>
      <c r="B48" s="3" t="s">
        <v>162</v>
      </c>
      <c r="C48" s="3" t="s">
        <v>163</v>
      </c>
      <c r="D48" s="3" t="s">
        <v>127</v>
      </c>
      <c r="E48" s="8" cm="1">
        <f t="array" ref="E48">getDistance($C$2,$D$2,C48,D48)</f>
        <v>1.4477346224215191</v>
      </c>
      <c r="I48" s="4"/>
      <c r="K48" s="4"/>
    </row>
    <row r="49" spans="1:11" x14ac:dyDescent="0.2">
      <c r="A49" s="3" t="s">
        <v>203</v>
      </c>
      <c r="B49" s="3" t="s">
        <v>202</v>
      </c>
      <c r="C49" s="3">
        <v>47.421420500000004</v>
      </c>
      <c r="D49" s="3">
        <v>9.3731755999999997</v>
      </c>
      <c r="E49" s="8" cm="1">
        <f t="array" ref="E49">getDistance($C$2,$D$2,C49,D49)</f>
        <v>63.061287434949634</v>
      </c>
      <c r="I49" s="4"/>
      <c r="K49" s="4"/>
    </row>
    <row r="50" spans="1:11" x14ac:dyDescent="0.2">
      <c r="A50" s="3" t="s">
        <v>208</v>
      </c>
      <c r="B50" s="3" t="s">
        <v>207</v>
      </c>
      <c r="C50" s="3" t="s">
        <v>211</v>
      </c>
      <c r="D50" s="3" t="s">
        <v>212</v>
      </c>
      <c r="E50" s="8" cm="1">
        <f t="array" ref="E50">getDistance($C$2,$D$2,C50,D50)</f>
        <v>63.440990312097107</v>
      </c>
      <c r="I50" s="4"/>
      <c r="K50" s="4"/>
    </row>
    <row r="51" spans="1:11" x14ac:dyDescent="0.2">
      <c r="A51" s="3" t="s">
        <v>213</v>
      </c>
      <c r="B51" s="3" t="s">
        <v>250</v>
      </c>
      <c r="C51" s="3" t="s">
        <v>211</v>
      </c>
      <c r="D51" s="3" t="s">
        <v>214</v>
      </c>
      <c r="E51" s="8" cm="1">
        <f t="array" ref="E51">getDistance($C$2,$D$2,C51,D51)</f>
        <v>63.276735240957798</v>
      </c>
      <c r="I51" s="4"/>
      <c r="K51" s="4"/>
    </row>
    <row r="52" spans="1:11" x14ac:dyDescent="0.2">
      <c r="A52" s="3" t="s">
        <v>218</v>
      </c>
      <c r="B52" t="s">
        <v>217</v>
      </c>
      <c r="C52" s="3" t="s">
        <v>219</v>
      </c>
      <c r="D52" s="3" t="s">
        <v>220</v>
      </c>
      <c r="E52" s="8" cm="1">
        <f t="array" ref="E52">getDistance($C$2,$D$2,C52,D52)</f>
        <v>75.152244669017222</v>
      </c>
      <c r="I52" s="4"/>
      <c r="K52" s="4"/>
    </row>
    <row r="53" spans="1:11" x14ac:dyDescent="0.2">
      <c r="A53" s="3" t="s">
        <v>237</v>
      </c>
      <c r="B53" t="s">
        <v>224</v>
      </c>
      <c r="C53" s="3" t="s">
        <v>219</v>
      </c>
      <c r="D53" s="3" t="s">
        <v>220</v>
      </c>
      <c r="E53" s="8" cm="1">
        <f t="array" ref="E53">getDistance($C$2,$D$2,C53,D53)</f>
        <v>75.152244669017222</v>
      </c>
      <c r="I53" s="4"/>
      <c r="K53" s="4"/>
    </row>
    <row r="54" spans="1:11" x14ac:dyDescent="0.2">
      <c r="A54" s="3" t="s">
        <v>228</v>
      </c>
      <c r="B54" t="s">
        <v>227</v>
      </c>
      <c r="C54" s="3" t="s">
        <v>239</v>
      </c>
      <c r="D54" s="3" t="s">
        <v>240</v>
      </c>
      <c r="E54" s="8" cm="1">
        <f t="array" ref="E54">getDistance($C$2,$D$2,C54,D54)</f>
        <v>95.064400856994112</v>
      </c>
      <c r="I54" s="4"/>
      <c r="K54" s="4"/>
    </row>
    <row r="55" spans="1:11" x14ac:dyDescent="0.2">
      <c r="A55" s="3" t="s">
        <v>236</v>
      </c>
      <c r="B55" t="s">
        <v>234</v>
      </c>
      <c r="C55" s="3" t="s">
        <v>239</v>
      </c>
      <c r="D55" s="3" t="s">
        <v>240</v>
      </c>
      <c r="E55" s="8" cm="1">
        <f t="array" ref="E55">getDistance($C$2,$D$2,C55,D55)</f>
        <v>95.064400856994112</v>
      </c>
      <c r="I55" s="4"/>
      <c r="K55" s="4"/>
    </row>
    <row r="56" spans="1:11" x14ac:dyDescent="0.2">
      <c r="A56" s="3" t="s">
        <v>236</v>
      </c>
      <c r="B56" t="s">
        <v>238</v>
      </c>
      <c r="C56" s="3" t="s">
        <v>239</v>
      </c>
      <c r="D56" s="3" t="s">
        <v>240</v>
      </c>
      <c r="E56" s="8" cm="1">
        <f t="array" ref="E56">getDistance($C$2,$D$2,C56,D56)</f>
        <v>95.064400856994112</v>
      </c>
      <c r="I56" s="4"/>
      <c r="K56" s="4"/>
    </row>
    <row r="57" spans="1:11" x14ac:dyDescent="0.2">
      <c r="A57" s="3"/>
      <c r="I57" s="4"/>
      <c r="K57" s="4"/>
    </row>
    <row r="58" spans="1:11" x14ac:dyDescent="0.2">
      <c r="A58" s="3"/>
      <c r="I58" s="4"/>
      <c r="K58" s="4"/>
    </row>
    <row r="59" spans="1:11" x14ac:dyDescent="0.2">
      <c r="A59" s="3"/>
      <c r="I59" s="4"/>
      <c r="K59" s="4"/>
    </row>
    <row r="60" spans="1:11" x14ac:dyDescent="0.2">
      <c r="A60" s="3"/>
      <c r="I60" s="4"/>
      <c r="K60" s="4"/>
    </row>
    <row r="61" spans="1:11" x14ac:dyDescent="0.2">
      <c r="A61" s="3"/>
      <c r="I61" s="4"/>
      <c r="K61" s="4"/>
    </row>
    <row r="62" spans="1:11" x14ac:dyDescent="0.2">
      <c r="A62" s="3"/>
      <c r="I62" s="4"/>
      <c r="K62" s="4"/>
    </row>
    <row r="63" spans="1:11" x14ac:dyDescent="0.2">
      <c r="A63" s="3"/>
      <c r="I63" s="4"/>
      <c r="K63" s="4"/>
    </row>
    <row r="64" spans="1:1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3DB21-A99B-7240-8348-BA8D0A2A2870}">
  <sheetPr codeName="Sheet11"/>
  <dimension ref="A1:V68"/>
  <sheetViews>
    <sheetView zoomScale="120" zoomScaleNormal="120" workbookViewId="0">
      <selection activeCell="E4" sqref="E4:E56"/>
    </sheetView>
  </sheetViews>
  <sheetFormatPr baseColWidth="10" defaultColWidth="11.5" defaultRowHeight="15" x14ac:dyDescent="0.2"/>
  <cols>
    <col min="1" max="1" width="13.6640625" bestFit="1" customWidth="1"/>
    <col min="2" max="2" width="29.1640625" bestFit="1" customWidth="1"/>
    <col min="3" max="3" width="11.33203125" bestFit="1" customWidth="1"/>
    <col min="4" max="4" width="10.6640625" bestFit="1" customWidth="1"/>
    <col min="5" max="5" width="11.1640625" customWidth="1"/>
    <col min="6" max="6" width="14.33203125" bestFit="1" customWidth="1"/>
    <col min="7" max="7" width="4.83203125" customWidth="1"/>
  </cols>
  <sheetData>
    <row r="1" spans="1:22" ht="17" customHeight="1" x14ac:dyDescent="0.2">
      <c r="A1" s="1" t="s">
        <v>251</v>
      </c>
      <c r="B1" s="1" t="s">
        <v>257</v>
      </c>
      <c r="C1" s="1" t="s">
        <v>4</v>
      </c>
      <c r="D1" s="1" t="s">
        <v>3</v>
      </c>
      <c r="E1" s="1" t="s">
        <v>275</v>
      </c>
      <c r="F1" s="1" t="s">
        <v>263</v>
      </c>
    </row>
    <row r="2" spans="1:22" x14ac:dyDescent="0.2">
      <c r="A2" s="3" t="s">
        <v>253</v>
      </c>
      <c r="B2" t="s">
        <v>259</v>
      </c>
      <c r="C2">
        <v>47.371580399999999</v>
      </c>
      <c r="D2">
        <v>8.5441082000000002</v>
      </c>
      <c r="F2" t="s">
        <v>267</v>
      </c>
    </row>
    <row r="3" spans="1:22" x14ac:dyDescent="0.2">
      <c r="A3" s="1" t="s">
        <v>0</v>
      </c>
      <c r="B3" s="1" t="s">
        <v>2</v>
      </c>
      <c r="C3" s="1" t="s">
        <v>4</v>
      </c>
      <c r="D3" s="1" t="s">
        <v>3</v>
      </c>
    </row>
    <row r="4" spans="1:22" x14ac:dyDescent="0.2">
      <c r="A4" s="3" t="s">
        <v>191</v>
      </c>
      <c r="B4" s="3" t="s">
        <v>28</v>
      </c>
      <c r="C4" s="3" t="s">
        <v>30</v>
      </c>
      <c r="D4" s="3" t="s">
        <v>29</v>
      </c>
      <c r="E4" s="8" cm="1">
        <f t="array" ref="E4">getDistance($C$2,$D$2,C4,D4)</f>
        <v>0.24689725205050808</v>
      </c>
    </row>
    <row r="5" spans="1:22" x14ac:dyDescent="0.2">
      <c r="A5" s="3" t="s">
        <v>192</v>
      </c>
      <c r="B5" s="3" t="s">
        <v>28</v>
      </c>
      <c r="C5" s="3" t="s">
        <v>30</v>
      </c>
      <c r="D5" s="3" t="s">
        <v>29</v>
      </c>
      <c r="E5" s="8" cm="1">
        <f t="array" ref="E5">getDistance($C$2,$D$2,C5,D5)</f>
        <v>0.24689725205050808</v>
      </c>
      <c r="K5" t="s">
        <v>276</v>
      </c>
    </row>
    <row r="6" spans="1:22" x14ac:dyDescent="0.2">
      <c r="A6" s="3" t="s">
        <v>193</v>
      </c>
      <c r="B6" s="3" t="s">
        <v>28</v>
      </c>
      <c r="C6" s="3" t="s">
        <v>30</v>
      </c>
      <c r="D6" s="3" t="s">
        <v>29</v>
      </c>
      <c r="E6" s="8" cm="1">
        <f t="array" ref="E6">getDistance($C$2,$D$2,C6,D6)</f>
        <v>0.24689725205050808</v>
      </c>
    </row>
    <row r="7" spans="1:22" x14ac:dyDescent="0.2">
      <c r="A7" s="3" t="s">
        <v>194</v>
      </c>
      <c r="B7" s="3" t="s">
        <v>38</v>
      </c>
      <c r="C7" s="3" t="s">
        <v>40</v>
      </c>
      <c r="D7" s="3" t="s">
        <v>39</v>
      </c>
      <c r="E7" s="8" cm="1">
        <f t="array" ref="E7">getDistance($C$2,$D$2,C7,D7)</f>
        <v>0.22907401113696332</v>
      </c>
    </row>
    <row r="8" spans="1:22" x14ac:dyDescent="0.2">
      <c r="A8" s="3" t="s">
        <v>197</v>
      </c>
      <c r="B8" s="3" t="s">
        <v>38</v>
      </c>
      <c r="C8" s="3" t="s">
        <v>40</v>
      </c>
      <c r="D8" s="3" t="s">
        <v>39</v>
      </c>
      <c r="E8" s="8" cm="1">
        <f t="array" ref="E8">getDistance($C$2,$D$2,C8,D8)</f>
        <v>0.22907401113696332</v>
      </c>
    </row>
    <row r="9" spans="1:22" x14ac:dyDescent="0.2">
      <c r="A9" s="3" t="s">
        <v>198</v>
      </c>
      <c r="B9" s="3" t="s">
        <v>38</v>
      </c>
      <c r="C9" s="3" t="s">
        <v>40</v>
      </c>
      <c r="D9" s="3" t="s">
        <v>39</v>
      </c>
      <c r="E9" s="8" cm="1">
        <f t="array" ref="E9">getDistance($C$2,$D$2,C9,D9)</f>
        <v>0.22907401113696332</v>
      </c>
    </row>
    <row r="10" spans="1:22" ht="17" customHeight="1" x14ac:dyDescent="0.2">
      <c r="A10" s="3" t="s">
        <v>199</v>
      </c>
      <c r="B10" s="3" t="s">
        <v>38</v>
      </c>
      <c r="C10" s="3" t="s">
        <v>40</v>
      </c>
      <c r="D10" s="3" t="s">
        <v>39</v>
      </c>
      <c r="E10" s="8" cm="1">
        <f t="array" ref="E10">getDistance($C$2,$D$2,C10,D10)</f>
        <v>0.22907401113696332</v>
      </c>
      <c r="V10" s="2"/>
    </row>
    <row r="11" spans="1:22" x14ac:dyDescent="0.2">
      <c r="A11" s="3" t="s">
        <v>195</v>
      </c>
      <c r="B11" s="3" t="s">
        <v>42</v>
      </c>
      <c r="C11" s="3" t="s">
        <v>44</v>
      </c>
      <c r="D11" s="3" t="s">
        <v>43</v>
      </c>
      <c r="E11" s="8" cm="1">
        <f t="array" ref="E11">getDistance($C$2,$D$2,C11,D11)</f>
        <v>0.73608049632420836</v>
      </c>
      <c r="G11" s="4"/>
    </row>
    <row r="12" spans="1:22" x14ac:dyDescent="0.2">
      <c r="A12" s="3" t="s">
        <v>200</v>
      </c>
      <c r="B12" s="3" t="s">
        <v>42</v>
      </c>
      <c r="C12" s="3" t="s">
        <v>44</v>
      </c>
      <c r="D12" s="3" t="s">
        <v>43</v>
      </c>
      <c r="E12" s="8" cm="1">
        <f t="array" ref="E12">getDistance($C$2,$D$2,C12,D12)</f>
        <v>0.73608049632420836</v>
      </c>
      <c r="G12" s="3"/>
    </row>
    <row r="13" spans="1:22" x14ac:dyDescent="0.2">
      <c r="A13" s="3" t="s">
        <v>196</v>
      </c>
      <c r="B13" s="3" t="s">
        <v>46</v>
      </c>
      <c r="C13" s="3" t="s">
        <v>48</v>
      </c>
      <c r="D13" s="3" t="s">
        <v>47</v>
      </c>
      <c r="E13" s="8" cm="1">
        <f t="array" ref="E13">getDistance($C$2,$D$2,C13,D13)</f>
        <v>0.510039250969478</v>
      </c>
      <c r="G13" s="3"/>
    </row>
    <row r="14" spans="1:22" x14ac:dyDescent="0.2">
      <c r="A14" s="3" t="s">
        <v>201</v>
      </c>
      <c r="B14" s="3" t="s">
        <v>46</v>
      </c>
      <c r="C14" s="3" t="s">
        <v>48</v>
      </c>
      <c r="D14" s="3" t="s">
        <v>47</v>
      </c>
      <c r="E14" s="8" cm="1">
        <f t="array" ref="E14">getDistance($C$2,$D$2,C14,D14)</f>
        <v>0.510039250969478</v>
      </c>
      <c r="G14" s="3"/>
    </row>
    <row r="15" spans="1:22" x14ac:dyDescent="0.2">
      <c r="A15" s="3" t="s">
        <v>243</v>
      </c>
      <c r="B15" s="3" t="s">
        <v>50</v>
      </c>
      <c r="C15" s="3" t="s">
        <v>52</v>
      </c>
      <c r="D15" s="3" t="s">
        <v>51</v>
      </c>
      <c r="E15" s="8" cm="1">
        <f t="array" ref="E15">getDistance($C$2,$D$2,C15,D15)</f>
        <v>0.33168714991868831</v>
      </c>
      <c r="I15" s="4"/>
    </row>
    <row r="16" spans="1:22" x14ac:dyDescent="0.2">
      <c r="A16" s="3">
        <v>100006</v>
      </c>
      <c r="B16" s="3" t="s">
        <v>54</v>
      </c>
      <c r="C16" s="3" t="s">
        <v>56</v>
      </c>
      <c r="D16" s="3" t="s">
        <v>55</v>
      </c>
      <c r="E16" s="8" cm="1">
        <f t="array" ref="E16">getDistance($C$2,$D$2,C16,D16)</f>
        <v>0.30611249023667469</v>
      </c>
      <c r="I16" s="4"/>
    </row>
    <row r="17" spans="1:11" x14ac:dyDescent="0.2">
      <c r="A17" s="3">
        <v>100007</v>
      </c>
      <c r="B17" s="3" t="s">
        <v>58</v>
      </c>
      <c r="C17" s="3" t="s">
        <v>60</v>
      </c>
      <c r="D17" s="3" t="s">
        <v>59</v>
      </c>
      <c r="E17" s="8" cm="1">
        <f t="array" ref="E17">getDistance($C$2,$D$2,C17,D17)</f>
        <v>0.27458159295281587</v>
      </c>
      <c r="I17" s="4"/>
    </row>
    <row r="18" spans="1:11" x14ac:dyDescent="0.2">
      <c r="A18" s="3">
        <v>100008</v>
      </c>
      <c r="B18" s="3" t="s">
        <v>62</v>
      </c>
      <c r="C18" s="3" t="s">
        <v>64</v>
      </c>
      <c r="D18" s="3" t="s">
        <v>63</v>
      </c>
      <c r="E18" s="8" cm="1">
        <f t="array" ref="E18">getDistance($C$2,$D$2,C18,D18)</f>
        <v>0.82565765802945101</v>
      </c>
      <c r="I18" s="4"/>
    </row>
    <row r="19" spans="1:11" x14ac:dyDescent="0.2">
      <c r="A19" s="3">
        <v>100009</v>
      </c>
      <c r="B19" s="3" t="s">
        <v>66</v>
      </c>
      <c r="C19" s="3" t="s">
        <v>68</v>
      </c>
      <c r="D19" s="3" t="s">
        <v>67</v>
      </c>
      <c r="E19" s="8" cm="1">
        <f t="array" ref="E19">getDistance($C$2,$D$2,C19,D19)</f>
        <v>0.18213394716854139</v>
      </c>
      <c r="I19" s="4"/>
    </row>
    <row r="20" spans="1:11" x14ac:dyDescent="0.2">
      <c r="A20" s="3">
        <v>100010</v>
      </c>
      <c r="B20" s="3" t="s">
        <v>70</v>
      </c>
      <c r="C20" s="3" t="s">
        <v>72</v>
      </c>
      <c r="D20" s="3" t="s">
        <v>71</v>
      </c>
      <c r="E20" s="8" cm="1">
        <f t="array" ref="E20">getDistance($C$2,$D$2,C20,D20)</f>
        <v>0.40711758076884591</v>
      </c>
      <c r="I20" s="4"/>
    </row>
    <row r="21" spans="1:11" x14ac:dyDescent="0.2">
      <c r="A21" s="3">
        <v>100011</v>
      </c>
      <c r="B21" s="3" t="s">
        <v>73</v>
      </c>
      <c r="C21" s="3" t="s">
        <v>75</v>
      </c>
      <c r="D21" s="3" t="s">
        <v>74</v>
      </c>
      <c r="E21" s="8" cm="1">
        <f t="array" ref="E21">getDistance($C$2,$D$2,C21,D21)</f>
        <v>0.84860118160543052</v>
      </c>
      <c r="I21" s="4"/>
    </row>
    <row r="22" spans="1:11" x14ac:dyDescent="0.2">
      <c r="A22" s="3">
        <v>100012</v>
      </c>
      <c r="B22" s="3" t="s">
        <v>76</v>
      </c>
      <c r="C22" s="3" t="s">
        <v>78</v>
      </c>
      <c r="D22" s="3" t="s">
        <v>77</v>
      </c>
      <c r="E22" s="8" cm="1">
        <f t="array" ref="E22">getDistance($C$2,$D$2,C22,D22)</f>
        <v>0.21582753494960119</v>
      </c>
      <c r="I22" s="4"/>
    </row>
    <row r="23" spans="1:11" x14ac:dyDescent="0.2">
      <c r="A23" s="3">
        <v>100013</v>
      </c>
      <c r="B23" s="3" t="s">
        <v>80</v>
      </c>
      <c r="C23" s="3" t="s">
        <v>82</v>
      </c>
      <c r="D23" s="3" t="s">
        <v>81</v>
      </c>
      <c r="E23" s="8" cm="1">
        <f t="array" ref="E23">getDistance($C$2,$D$2,C23,D23)</f>
        <v>0.26136651756117812</v>
      </c>
      <c r="I23" s="4"/>
    </row>
    <row r="24" spans="1:11" x14ac:dyDescent="0.2">
      <c r="A24" s="3">
        <v>100014</v>
      </c>
      <c r="B24" s="3" t="s">
        <v>84</v>
      </c>
      <c r="C24" s="3" t="s">
        <v>86</v>
      </c>
      <c r="D24" s="3" t="s">
        <v>85</v>
      </c>
      <c r="E24" s="8" cm="1">
        <f t="array" ref="E24">getDistance($C$2,$D$2,C24,D24)</f>
        <v>0.32324093551093008</v>
      </c>
      <c r="I24" s="4"/>
    </row>
    <row r="25" spans="1:11" x14ac:dyDescent="0.2">
      <c r="A25" s="3">
        <v>100015</v>
      </c>
      <c r="B25" s="3" t="s">
        <v>88</v>
      </c>
      <c r="C25" s="3" t="s">
        <v>90</v>
      </c>
      <c r="D25" s="3" t="s">
        <v>89</v>
      </c>
      <c r="E25" s="8" cm="1">
        <f t="array" ref="E25">getDistance($C$2,$D$2,C25,D25)</f>
        <v>0.60749245192638679</v>
      </c>
      <c r="G25" s="3"/>
      <c r="I25" s="4"/>
    </row>
    <row r="26" spans="1:11" x14ac:dyDescent="0.2">
      <c r="A26" s="3">
        <v>100016</v>
      </c>
      <c r="B26" s="3" t="s">
        <v>92</v>
      </c>
      <c r="C26" s="3" t="s">
        <v>94</v>
      </c>
      <c r="D26" s="3" t="s">
        <v>93</v>
      </c>
      <c r="E26" s="8" cm="1">
        <f t="array" ref="E26">getDistance($C$2,$D$2,C26,D26)</f>
        <v>1.0979879983039336</v>
      </c>
      <c r="G26" s="3"/>
      <c r="I26" s="4"/>
      <c r="K26" s="4"/>
    </row>
    <row r="27" spans="1:11" x14ac:dyDescent="0.2">
      <c r="A27" s="3">
        <v>100017</v>
      </c>
      <c r="B27" s="3" t="s">
        <v>96</v>
      </c>
      <c r="C27" s="3" t="s">
        <v>98</v>
      </c>
      <c r="D27" s="3" t="s">
        <v>97</v>
      </c>
      <c r="E27" s="8" cm="1">
        <f t="array" ref="E27">getDistance($C$2,$D$2,C27,D27)</f>
        <v>0.45616059549816956</v>
      </c>
      <c r="G27" s="3"/>
      <c r="I27" s="4"/>
      <c r="K27" s="4"/>
    </row>
    <row r="28" spans="1:11" x14ac:dyDescent="0.2">
      <c r="A28" s="3">
        <v>100018</v>
      </c>
      <c r="B28" s="3" t="s">
        <v>99</v>
      </c>
      <c r="C28" s="3" t="s">
        <v>101</v>
      </c>
      <c r="D28" s="3" t="s">
        <v>100</v>
      </c>
      <c r="E28" s="8" cm="1">
        <f t="array" ref="E28">getDistance($C$2,$D$2,C28,D28)</f>
        <v>0.32021103779193655</v>
      </c>
      <c r="G28" s="3"/>
      <c r="I28" s="4"/>
      <c r="K28" s="4"/>
    </row>
    <row r="29" spans="1:11" x14ac:dyDescent="0.2">
      <c r="A29" s="3">
        <v>100019</v>
      </c>
      <c r="B29" s="3" t="s">
        <v>104</v>
      </c>
      <c r="C29" s="3" t="s">
        <v>106</v>
      </c>
      <c r="D29" s="3" t="s">
        <v>105</v>
      </c>
      <c r="E29" s="8" cm="1">
        <f t="array" ref="E29">getDistance($C$2,$D$2,C29,D29)</f>
        <v>0.90072616939512085</v>
      </c>
      <c r="I29" s="4"/>
      <c r="K29" s="4"/>
    </row>
    <row r="30" spans="1:11" x14ac:dyDescent="0.2">
      <c r="A30" s="3">
        <v>100020</v>
      </c>
      <c r="B30" s="3" t="s">
        <v>108</v>
      </c>
      <c r="C30" s="3" t="s">
        <v>110</v>
      </c>
      <c r="D30" s="3" t="s">
        <v>109</v>
      </c>
      <c r="E30" s="8" cm="1">
        <f t="array" ref="E30">getDistance($C$2,$D$2,C30,D30)</f>
        <v>0.2050035146973192</v>
      </c>
      <c r="I30" s="4"/>
      <c r="K30" s="4"/>
    </row>
    <row r="31" spans="1:11" x14ac:dyDescent="0.2">
      <c r="A31" s="3">
        <v>100021</v>
      </c>
      <c r="B31" s="3" t="s">
        <v>111</v>
      </c>
      <c r="C31" s="3" t="s">
        <v>113</v>
      </c>
      <c r="D31" s="3" t="s">
        <v>112</v>
      </c>
      <c r="E31" s="8" cm="1">
        <f t="array" ref="E31">getDistance($C$2,$D$2,C31,D31)</f>
        <v>0.43702939209506797</v>
      </c>
      <c r="I31" s="4"/>
      <c r="K31" s="4"/>
    </row>
    <row r="32" spans="1:11" x14ac:dyDescent="0.2">
      <c r="A32" s="3" t="s">
        <v>244</v>
      </c>
      <c r="B32" s="3" t="s">
        <v>115</v>
      </c>
      <c r="C32" s="3" t="s">
        <v>117</v>
      </c>
      <c r="D32" s="3" t="s">
        <v>116</v>
      </c>
      <c r="E32" s="8" cm="1">
        <f t="array" ref="E32">getDistance($C$2,$D$2,C32,D32)</f>
        <v>0.38316316634619502</v>
      </c>
      <c r="I32" s="4"/>
      <c r="K32" s="4"/>
    </row>
    <row r="33" spans="1:11" x14ac:dyDescent="0.2">
      <c r="A33" s="3" t="s">
        <v>245</v>
      </c>
      <c r="B33" s="3" t="s">
        <v>115</v>
      </c>
      <c r="C33" s="3" t="s">
        <v>117</v>
      </c>
      <c r="D33" s="3" t="s">
        <v>116</v>
      </c>
      <c r="E33" s="8" cm="1">
        <f t="array" ref="E33">getDistance($C$2,$D$2,C33,D33)</f>
        <v>0.38316316634619502</v>
      </c>
      <c r="I33" s="4"/>
      <c r="K33" s="4"/>
    </row>
    <row r="34" spans="1:11" x14ac:dyDescent="0.2">
      <c r="A34" s="3" t="s">
        <v>246</v>
      </c>
      <c r="B34" s="3" t="s">
        <v>115</v>
      </c>
      <c r="C34" s="3" t="s">
        <v>117</v>
      </c>
      <c r="D34" s="3" t="s">
        <v>116</v>
      </c>
      <c r="E34" s="8" cm="1">
        <f t="array" ref="E34">getDistance($C$2,$D$2,C34,D34)</f>
        <v>0.38316316634619502</v>
      </c>
      <c r="I34" s="4"/>
      <c r="K34" s="4"/>
    </row>
    <row r="35" spans="1:11" x14ac:dyDescent="0.2">
      <c r="A35" s="3" t="s">
        <v>247</v>
      </c>
      <c r="B35" s="3" t="s">
        <v>115</v>
      </c>
      <c r="C35" s="3" t="s">
        <v>117</v>
      </c>
      <c r="D35" s="3" t="s">
        <v>116</v>
      </c>
      <c r="E35" s="8" cm="1">
        <f t="array" ref="E35">getDistance($C$2,$D$2,C35,D35)</f>
        <v>0.38316316634619502</v>
      </c>
      <c r="I35" s="4"/>
      <c r="K35" s="4"/>
    </row>
    <row r="36" spans="1:11" x14ac:dyDescent="0.2">
      <c r="A36" s="3">
        <v>100023</v>
      </c>
      <c r="B36" s="3" t="s">
        <v>121</v>
      </c>
      <c r="C36" s="3" t="s">
        <v>123</v>
      </c>
      <c r="D36" s="3" t="s">
        <v>122</v>
      </c>
      <c r="E36" s="8" cm="1">
        <f t="array" ref="E36">getDistance($C$2,$D$2,C36,D36)</f>
        <v>0.69440367881610499</v>
      </c>
      <c r="I36" s="4"/>
      <c r="K36" s="4"/>
    </row>
    <row r="37" spans="1:11" x14ac:dyDescent="0.2">
      <c r="A37" s="3">
        <v>100024</v>
      </c>
      <c r="B37" s="3" t="s">
        <v>126</v>
      </c>
      <c r="C37" s="3" t="s">
        <v>128</v>
      </c>
      <c r="D37" s="3" t="s">
        <v>127</v>
      </c>
      <c r="E37" s="8" cm="1">
        <f t="array" ref="E37">getDistance($C$2,$D$2,C37,D37)</f>
        <v>0.27378700702098019</v>
      </c>
      <c r="I37" s="4"/>
      <c r="K37" s="4"/>
    </row>
    <row r="38" spans="1:11" x14ac:dyDescent="0.2">
      <c r="A38" s="3">
        <v>100025</v>
      </c>
      <c r="B38" s="3" t="s">
        <v>130</v>
      </c>
      <c r="C38" s="3" t="s">
        <v>132</v>
      </c>
      <c r="D38" s="3" t="s">
        <v>131</v>
      </c>
      <c r="E38" s="8" cm="1">
        <f t="array" ref="E38">getDistance($C$2,$D$2,C38,D38)</f>
        <v>0.6071750428662136</v>
      </c>
      <c r="I38" s="4"/>
      <c r="K38" s="4"/>
    </row>
    <row r="39" spans="1:11" x14ac:dyDescent="0.2">
      <c r="A39" s="3" t="s">
        <v>248</v>
      </c>
      <c r="B39" s="3" t="s">
        <v>134</v>
      </c>
      <c r="C39" s="3" t="s">
        <v>48</v>
      </c>
      <c r="D39" s="3" t="s">
        <v>47</v>
      </c>
      <c r="E39" s="8" cm="1">
        <f t="array" ref="E39">getDistance($C$2,$D$2,C39,D39)</f>
        <v>0.510039250969478</v>
      </c>
      <c r="I39" s="4"/>
      <c r="K39" s="4"/>
    </row>
    <row r="40" spans="1:11" x14ac:dyDescent="0.2">
      <c r="A40" s="3" t="s">
        <v>249</v>
      </c>
      <c r="B40" s="3" t="s">
        <v>134</v>
      </c>
      <c r="C40" s="3" t="s">
        <v>48</v>
      </c>
      <c r="D40" s="3" t="s">
        <v>47</v>
      </c>
      <c r="E40" s="8" cm="1">
        <f t="array" ref="E40">getDistance($C$2,$D$2,C40,D40)</f>
        <v>0.510039250969478</v>
      </c>
      <c r="I40" s="4"/>
      <c r="K40" s="4"/>
    </row>
    <row r="41" spans="1:11" x14ac:dyDescent="0.2">
      <c r="A41" s="3">
        <v>100027</v>
      </c>
      <c r="B41" s="3" t="s">
        <v>136</v>
      </c>
      <c r="C41" s="3" t="s">
        <v>138</v>
      </c>
      <c r="D41" s="3" t="s">
        <v>137</v>
      </c>
      <c r="E41" s="8" cm="1">
        <f t="array" ref="E41">getDistance($C$2,$D$2,C41,D41)</f>
        <v>0.18373386188015095</v>
      </c>
      <c r="I41" s="4"/>
      <c r="K41" s="4"/>
    </row>
    <row r="42" spans="1:11" x14ac:dyDescent="0.2">
      <c r="A42" s="3">
        <v>100028</v>
      </c>
      <c r="B42" s="3" t="s">
        <v>140</v>
      </c>
      <c r="C42" s="3" t="s">
        <v>68</v>
      </c>
      <c r="D42" s="3" t="s">
        <v>141</v>
      </c>
      <c r="E42" s="8" cm="1">
        <f t="array" ref="E42">getDistance($C$2,$D$2,C42,D42)</f>
        <v>0.57513379304724821</v>
      </c>
      <c r="I42" s="4"/>
      <c r="K42" s="4"/>
    </row>
    <row r="43" spans="1:11" x14ac:dyDescent="0.2">
      <c r="A43" s="3">
        <v>100029</v>
      </c>
      <c r="B43" s="3" t="s">
        <v>144</v>
      </c>
      <c r="C43" s="3" t="s">
        <v>146</v>
      </c>
      <c r="D43" s="3" t="s">
        <v>145</v>
      </c>
      <c r="E43" s="8" cm="1">
        <f t="array" ref="E43">getDistance($C$2,$D$2,C43,D43)</f>
        <v>0.16507037446194711</v>
      </c>
      <c r="I43" s="4"/>
      <c r="K43" s="4"/>
    </row>
    <row r="44" spans="1:11" x14ac:dyDescent="0.2">
      <c r="A44" s="3">
        <v>100030</v>
      </c>
      <c r="B44" s="3" t="s">
        <v>147</v>
      </c>
      <c r="C44" s="3" t="s">
        <v>149</v>
      </c>
      <c r="D44" s="3" t="s">
        <v>148</v>
      </c>
      <c r="E44" s="8" cm="1">
        <f t="array" ref="E44">getDistance($C$2,$D$2,C44,D44)</f>
        <v>0.27138437456493031</v>
      </c>
      <c r="I44" s="4"/>
      <c r="K44" s="4"/>
    </row>
    <row r="45" spans="1:11" x14ac:dyDescent="0.2">
      <c r="A45" s="3">
        <v>100031</v>
      </c>
      <c r="B45" s="3" t="s">
        <v>150</v>
      </c>
      <c r="C45" s="3" t="s">
        <v>152</v>
      </c>
      <c r="D45" s="3" t="s">
        <v>151</v>
      </c>
      <c r="E45" s="8" cm="1">
        <f t="array" ref="E45">getDistance($C$2,$D$2,C45,D45)</f>
        <v>0.64391768457845366</v>
      </c>
      <c r="I45" s="4"/>
      <c r="K45" s="4"/>
    </row>
    <row r="46" spans="1:11" x14ac:dyDescent="0.2">
      <c r="A46" s="3">
        <v>100032</v>
      </c>
      <c r="B46" s="3" t="s">
        <v>154</v>
      </c>
      <c r="C46" s="3" t="s">
        <v>156</v>
      </c>
      <c r="D46" s="3" t="s">
        <v>155</v>
      </c>
      <c r="E46" s="8" cm="1">
        <f t="array" ref="E46">getDistance($C$2,$D$2,C46,D46)</f>
        <v>0.33688645793086325</v>
      </c>
      <c r="I46" s="4"/>
      <c r="K46" s="4"/>
    </row>
    <row r="47" spans="1:11" x14ac:dyDescent="0.2">
      <c r="A47" s="3">
        <v>100033</v>
      </c>
      <c r="B47" s="3" t="s">
        <v>158</v>
      </c>
      <c r="C47" s="3" t="s">
        <v>159</v>
      </c>
      <c r="D47" s="3" t="s">
        <v>39</v>
      </c>
      <c r="E47" s="8" cm="1">
        <f t="array" ref="E47">getDistance($C$2,$D$2,C47,D47)</f>
        <v>5.7634202382899263E-2</v>
      </c>
      <c r="I47" s="4"/>
      <c r="K47" s="4"/>
    </row>
    <row r="48" spans="1:11" x14ac:dyDescent="0.2">
      <c r="A48" s="3">
        <v>100034</v>
      </c>
      <c r="B48" s="3" t="s">
        <v>162</v>
      </c>
      <c r="C48" s="3" t="s">
        <v>163</v>
      </c>
      <c r="D48" s="3" t="s">
        <v>127</v>
      </c>
      <c r="E48" s="8" cm="1">
        <f t="array" ref="E48">getDistance($C$2,$D$2,C48,D48)</f>
        <v>1.2460042711998982</v>
      </c>
      <c r="I48" s="4"/>
      <c r="K48" s="4"/>
    </row>
    <row r="49" spans="1:11" x14ac:dyDescent="0.2">
      <c r="A49" s="3" t="s">
        <v>203</v>
      </c>
      <c r="B49" s="3" t="s">
        <v>202</v>
      </c>
      <c r="C49" s="3">
        <v>47.421420500000004</v>
      </c>
      <c r="D49" s="3">
        <v>9.3731755999999997</v>
      </c>
      <c r="E49" s="8" cm="1">
        <f t="array" ref="E49">getDistance($C$2,$D$2,C49,D49)</f>
        <v>62.649345493515781</v>
      </c>
      <c r="I49" s="4"/>
      <c r="K49" s="4"/>
    </row>
    <row r="50" spans="1:11" x14ac:dyDescent="0.2">
      <c r="A50" s="3" t="s">
        <v>208</v>
      </c>
      <c r="B50" s="3" t="s">
        <v>207</v>
      </c>
      <c r="C50" s="3" t="s">
        <v>211</v>
      </c>
      <c r="D50" s="3" t="s">
        <v>212</v>
      </c>
      <c r="E50" s="8" cm="1">
        <f t="array" ref="E50">getDistance($C$2,$D$2,C50,D50)</f>
        <v>63.026945368607642</v>
      </c>
      <c r="I50" s="4"/>
      <c r="K50" s="4"/>
    </row>
    <row r="51" spans="1:11" x14ac:dyDescent="0.2">
      <c r="A51" s="3" t="s">
        <v>213</v>
      </c>
      <c r="B51" s="3" t="s">
        <v>250</v>
      </c>
      <c r="C51" s="3" t="s">
        <v>211</v>
      </c>
      <c r="D51" s="3" t="s">
        <v>214</v>
      </c>
      <c r="E51" s="8" cm="1">
        <f t="array" ref="E51">getDistance($C$2,$D$2,C51,D51)</f>
        <v>62.862645104640244</v>
      </c>
      <c r="I51" s="4"/>
      <c r="K51" s="4"/>
    </row>
    <row r="52" spans="1:11" x14ac:dyDescent="0.2">
      <c r="A52" s="3" t="s">
        <v>218</v>
      </c>
      <c r="B52" t="s">
        <v>217</v>
      </c>
      <c r="C52" s="3" t="s">
        <v>219</v>
      </c>
      <c r="D52" s="3" t="s">
        <v>220</v>
      </c>
      <c r="E52" s="8" cm="1">
        <f t="array" ref="E52">getDistance($C$2,$D$2,C52,D52)</f>
        <v>75.467382496581635</v>
      </c>
      <c r="I52" s="4"/>
      <c r="K52" s="4"/>
    </row>
    <row r="53" spans="1:11" x14ac:dyDescent="0.2">
      <c r="A53" s="3" t="s">
        <v>237</v>
      </c>
      <c r="B53" t="s">
        <v>224</v>
      </c>
      <c r="C53" s="3" t="s">
        <v>219</v>
      </c>
      <c r="D53" s="3" t="s">
        <v>220</v>
      </c>
      <c r="E53" s="8" cm="1">
        <f t="array" ref="E53">getDistance($C$2,$D$2,C53,D53)</f>
        <v>75.467382496581635</v>
      </c>
      <c r="I53" s="4"/>
      <c r="K53" s="4"/>
    </row>
    <row r="54" spans="1:11" x14ac:dyDescent="0.2">
      <c r="A54" s="3" t="s">
        <v>228</v>
      </c>
      <c r="B54" t="s">
        <v>227</v>
      </c>
      <c r="C54" s="3" t="s">
        <v>239</v>
      </c>
      <c r="D54" s="3" t="s">
        <v>240</v>
      </c>
      <c r="E54" s="8" cm="1">
        <f t="array" ref="E54">getDistance($C$2,$D$2,C54,D54)</f>
        <v>95.515791854436117</v>
      </c>
      <c r="I54" s="4"/>
      <c r="K54" s="4"/>
    </row>
    <row r="55" spans="1:11" x14ac:dyDescent="0.2">
      <c r="A55" s="3" t="s">
        <v>236</v>
      </c>
      <c r="B55" t="s">
        <v>234</v>
      </c>
      <c r="C55" s="3" t="s">
        <v>239</v>
      </c>
      <c r="D55" s="3" t="s">
        <v>240</v>
      </c>
      <c r="E55" s="8" cm="1">
        <f t="array" ref="E55">getDistance($C$2,$D$2,C55,D55)</f>
        <v>95.515791854436117</v>
      </c>
      <c r="I55" s="4"/>
      <c r="K55" s="4"/>
    </row>
    <row r="56" spans="1:11" x14ac:dyDescent="0.2">
      <c r="A56" s="3" t="s">
        <v>236</v>
      </c>
      <c r="B56" t="s">
        <v>238</v>
      </c>
      <c r="C56" s="3" t="s">
        <v>239</v>
      </c>
      <c r="D56" s="3" t="s">
        <v>240</v>
      </c>
      <c r="E56" s="8" cm="1">
        <f t="array" ref="E56">getDistance($C$2,$D$2,C56,D56)</f>
        <v>95.515791854436117</v>
      </c>
      <c r="I56" s="4"/>
      <c r="K56" s="4"/>
    </row>
    <row r="57" spans="1:11" x14ac:dyDescent="0.2">
      <c r="A57" s="3"/>
      <c r="I57" s="4"/>
      <c r="K57" s="4"/>
    </row>
    <row r="58" spans="1:11" x14ac:dyDescent="0.2">
      <c r="A58" s="3"/>
      <c r="I58" s="4"/>
      <c r="K58" s="4"/>
    </row>
    <row r="59" spans="1:11" x14ac:dyDescent="0.2">
      <c r="A59" s="3"/>
      <c r="I59" s="4"/>
      <c r="K59" s="4"/>
    </row>
    <row r="60" spans="1:11" x14ac:dyDescent="0.2">
      <c r="A60" s="3"/>
      <c r="I60" s="4"/>
      <c r="K60" s="4"/>
    </row>
    <row r="61" spans="1:11" x14ac:dyDescent="0.2">
      <c r="A61" s="3"/>
      <c r="I61" s="4"/>
      <c r="K61" s="4"/>
    </row>
    <row r="62" spans="1:11" x14ac:dyDescent="0.2">
      <c r="A62" s="3"/>
      <c r="I62" s="4"/>
      <c r="K62" s="4"/>
    </row>
    <row r="63" spans="1:11" x14ac:dyDescent="0.2">
      <c r="A63" s="3"/>
      <c r="I63" s="4"/>
      <c r="K63" s="4"/>
    </row>
    <row r="64" spans="1:1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7EFDF-7F7E-4B4B-A793-ADBCEEB38D63}">
  <sheetPr codeName="Sheet12"/>
  <dimension ref="A1:V68"/>
  <sheetViews>
    <sheetView zoomScale="120" zoomScaleNormal="120" workbookViewId="0">
      <selection activeCell="E4" sqref="E4:E56"/>
    </sheetView>
  </sheetViews>
  <sheetFormatPr baseColWidth="10" defaultColWidth="11.5" defaultRowHeight="15" x14ac:dyDescent="0.2"/>
  <cols>
    <col min="1" max="1" width="13.6640625" bestFit="1" customWidth="1"/>
    <col min="2" max="2" width="29.1640625" bestFit="1" customWidth="1"/>
    <col min="3" max="3" width="11.33203125" bestFit="1" customWidth="1"/>
    <col min="4" max="4" width="10.6640625" bestFit="1" customWidth="1"/>
    <col min="5" max="5" width="11.1640625" customWidth="1"/>
    <col min="6" max="6" width="14.33203125" bestFit="1" customWidth="1"/>
    <col min="7" max="7" width="4.83203125" customWidth="1"/>
  </cols>
  <sheetData>
    <row r="1" spans="1:22" ht="17" customHeight="1" x14ac:dyDescent="0.2">
      <c r="A1" s="1" t="s">
        <v>251</v>
      </c>
      <c r="B1" s="1" t="s">
        <v>257</v>
      </c>
      <c r="C1" s="1" t="s">
        <v>4</v>
      </c>
      <c r="D1" s="1" t="s">
        <v>3</v>
      </c>
      <c r="E1" s="1" t="s">
        <v>275</v>
      </c>
      <c r="F1" s="1" t="s">
        <v>263</v>
      </c>
    </row>
    <row r="2" spans="1:22" x14ac:dyDescent="0.2">
      <c r="A2" s="3" t="s">
        <v>253</v>
      </c>
      <c r="B2" t="s">
        <v>259</v>
      </c>
      <c r="C2">
        <v>47.373217500000003</v>
      </c>
      <c r="D2">
        <v>8.5300788999999995</v>
      </c>
      <c r="F2" t="s">
        <v>278</v>
      </c>
    </row>
    <row r="3" spans="1:22" x14ac:dyDescent="0.2">
      <c r="A3" s="1" t="s">
        <v>0</v>
      </c>
      <c r="B3" s="1" t="s">
        <v>2</v>
      </c>
      <c r="C3" s="1" t="s">
        <v>4</v>
      </c>
      <c r="D3" s="1" t="s">
        <v>3</v>
      </c>
    </row>
    <row r="4" spans="1:22" x14ac:dyDescent="0.2">
      <c r="A4" s="3" t="s">
        <v>191</v>
      </c>
      <c r="B4" s="3" t="s">
        <v>28</v>
      </c>
      <c r="C4" s="3" t="s">
        <v>30</v>
      </c>
      <c r="D4" s="3" t="s">
        <v>29</v>
      </c>
      <c r="E4" s="8" cm="1">
        <f t="array" ref="E4">getDistance($C$2,$D$2,C4,D4)</f>
        <v>1.1403721388618027</v>
      </c>
    </row>
    <row r="5" spans="1:22" x14ac:dyDescent="0.2">
      <c r="A5" s="3" t="s">
        <v>192</v>
      </c>
      <c r="B5" s="3" t="s">
        <v>28</v>
      </c>
      <c r="C5" s="3" t="s">
        <v>30</v>
      </c>
      <c r="D5" s="3" t="s">
        <v>29</v>
      </c>
      <c r="E5" s="8" cm="1">
        <f t="array" ref="E5">getDistance($C$2,$D$2,C5,D5)</f>
        <v>1.1403721388618027</v>
      </c>
      <c r="K5" t="s">
        <v>276</v>
      </c>
    </row>
    <row r="6" spans="1:22" x14ac:dyDescent="0.2">
      <c r="A6" s="3" t="s">
        <v>193</v>
      </c>
      <c r="B6" s="3" t="s">
        <v>28</v>
      </c>
      <c r="C6" s="3" t="s">
        <v>30</v>
      </c>
      <c r="D6" s="3" t="s">
        <v>29</v>
      </c>
      <c r="E6" s="8" cm="1">
        <f t="array" ref="E6">getDistance($C$2,$D$2,C6,D6)</f>
        <v>1.1403721388618027</v>
      </c>
    </row>
    <row r="7" spans="1:22" x14ac:dyDescent="0.2">
      <c r="A7" s="3" t="s">
        <v>194</v>
      </c>
      <c r="B7" s="3" t="s">
        <v>38</v>
      </c>
      <c r="C7" s="3" t="s">
        <v>40</v>
      </c>
      <c r="D7" s="3" t="s">
        <v>39</v>
      </c>
      <c r="E7" s="8" cm="1">
        <f t="array" ref="E7">getDistance($C$2,$D$2,C7,D7)</f>
        <v>1.025182927285579</v>
      </c>
    </row>
    <row r="8" spans="1:22" x14ac:dyDescent="0.2">
      <c r="A8" s="3" t="s">
        <v>197</v>
      </c>
      <c r="B8" s="3" t="s">
        <v>38</v>
      </c>
      <c r="C8" s="3" t="s">
        <v>40</v>
      </c>
      <c r="D8" s="3" t="s">
        <v>39</v>
      </c>
      <c r="E8" s="8" cm="1">
        <f t="array" ref="E8">getDistance($C$2,$D$2,C8,D8)</f>
        <v>1.025182927285579</v>
      </c>
    </row>
    <row r="9" spans="1:22" x14ac:dyDescent="0.2">
      <c r="A9" s="3" t="s">
        <v>198</v>
      </c>
      <c r="B9" s="3" t="s">
        <v>38</v>
      </c>
      <c r="C9" s="3" t="s">
        <v>40</v>
      </c>
      <c r="D9" s="3" t="s">
        <v>39</v>
      </c>
      <c r="E9" s="8" cm="1">
        <f t="array" ref="E9">getDistance($C$2,$D$2,C9,D9)</f>
        <v>1.025182927285579</v>
      </c>
    </row>
    <row r="10" spans="1:22" ht="17" customHeight="1" x14ac:dyDescent="0.2">
      <c r="A10" s="3" t="s">
        <v>199</v>
      </c>
      <c r="B10" s="3" t="s">
        <v>38</v>
      </c>
      <c r="C10" s="3" t="s">
        <v>40</v>
      </c>
      <c r="D10" s="3" t="s">
        <v>39</v>
      </c>
      <c r="E10" s="8" cm="1">
        <f t="array" ref="E10">getDistance($C$2,$D$2,C10,D10)</f>
        <v>1.025182927285579</v>
      </c>
      <c r="V10" s="2"/>
    </row>
    <row r="11" spans="1:22" x14ac:dyDescent="0.2">
      <c r="A11" s="3" t="s">
        <v>195</v>
      </c>
      <c r="B11" s="3" t="s">
        <v>42</v>
      </c>
      <c r="C11" s="3" t="s">
        <v>44</v>
      </c>
      <c r="D11" s="3" t="s">
        <v>43</v>
      </c>
      <c r="E11" s="8" cm="1">
        <f t="array" ref="E11">getDistance($C$2,$D$2,C11,D11)</f>
        <v>1.731714056929448</v>
      </c>
      <c r="G11" s="4"/>
    </row>
    <row r="12" spans="1:22" x14ac:dyDescent="0.2">
      <c r="A12" s="3" t="s">
        <v>200</v>
      </c>
      <c r="B12" s="3" t="s">
        <v>42</v>
      </c>
      <c r="C12" s="3" t="s">
        <v>44</v>
      </c>
      <c r="D12" s="3" t="s">
        <v>43</v>
      </c>
      <c r="E12" s="8" cm="1">
        <f t="array" ref="E12">getDistance($C$2,$D$2,C12,D12)</f>
        <v>1.731714056929448</v>
      </c>
      <c r="G12" s="3"/>
    </row>
    <row r="13" spans="1:22" x14ac:dyDescent="0.2">
      <c r="A13" s="3" t="s">
        <v>196</v>
      </c>
      <c r="B13" s="3" t="s">
        <v>46</v>
      </c>
      <c r="C13" s="3" t="s">
        <v>48</v>
      </c>
      <c r="D13" s="3" t="s">
        <v>47</v>
      </c>
      <c r="E13" s="8" cm="1">
        <f t="array" ref="E13">getDistance($C$2,$D$2,C13,D13)</f>
        <v>1.1334278140336607</v>
      </c>
      <c r="G13" s="3"/>
    </row>
    <row r="14" spans="1:22" x14ac:dyDescent="0.2">
      <c r="A14" s="3" t="s">
        <v>201</v>
      </c>
      <c r="B14" s="3" t="s">
        <v>46</v>
      </c>
      <c r="C14" s="3" t="s">
        <v>48</v>
      </c>
      <c r="D14" s="3" t="s">
        <v>47</v>
      </c>
      <c r="E14" s="8" cm="1">
        <f t="array" ref="E14">getDistance($C$2,$D$2,C14,D14)</f>
        <v>1.1334278140336607</v>
      </c>
      <c r="G14" s="3"/>
    </row>
    <row r="15" spans="1:22" x14ac:dyDescent="0.2">
      <c r="A15" s="3" t="s">
        <v>243</v>
      </c>
      <c r="B15" s="3" t="s">
        <v>50</v>
      </c>
      <c r="C15" s="3" t="s">
        <v>52</v>
      </c>
      <c r="D15" s="3" t="s">
        <v>51</v>
      </c>
      <c r="E15" s="8" cm="1">
        <f t="array" ref="E15">getDistance($C$2,$D$2,C15,D15)</f>
        <v>1.0514141682689133</v>
      </c>
      <c r="I15" s="4"/>
    </row>
    <row r="16" spans="1:22" x14ac:dyDescent="0.2">
      <c r="A16" s="3">
        <v>100006</v>
      </c>
      <c r="B16" s="3" t="s">
        <v>54</v>
      </c>
      <c r="C16" s="3" t="s">
        <v>56</v>
      </c>
      <c r="D16" s="3" t="s">
        <v>55</v>
      </c>
      <c r="E16" s="8" cm="1">
        <f t="array" ref="E16">getDistance($C$2,$D$2,C16,D16)</f>
        <v>1.3482607358043288</v>
      </c>
      <c r="I16" s="4"/>
    </row>
    <row r="17" spans="1:11" x14ac:dyDescent="0.2">
      <c r="A17" s="3">
        <v>100007</v>
      </c>
      <c r="B17" s="3" t="s">
        <v>58</v>
      </c>
      <c r="C17" s="3" t="s">
        <v>60</v>
      </c>
      <c r="D17" s="3" t="s">
        <v>59</v>
      </c>
      <c r="E17" s="8" cm="1">
        <f t="array" ref="E17">getDistance($C$2,$D$2,C17,D17)</f>
        <v>0.80372141080177573</v>
      </c>
      <c r="I17" s="4"/>
    </row>
    <row r="18" spans="1:11" x14ac:dyDescent="0.2">
      <c r="A18" s="3">
        <v>100008</v>
      </c>
      <c r="B18" s="3" t="s">
        <v>62</v>
      </c>
      <c r="C18" s="3" t="s">
        <v>64</v>
      </c>
      <c r="D18" s="3" t="s">
        <v>63</v>
      </c>
      <c r="E18" s="8" cm="1">
        <f t="array" ref="E18">getDistance($C$2,$D$2,C18,D18)</f>
        <v>1.2947285714457459</v>
      </c>
      <c r="I18" s="4"/>
    </row>
    <row r="19" spans="1:11" x14ac:dyDescent="0.2">
      <c r="A19" s="3">
        <v>100009</v>
      </c>
      <c r="B19" s="3" t="s">
        <v>66</v>
      </c>
      <c r="C19" s="3" t="s">
        <v>68</v>
      </c>
      <c r="D19" s="3" t="s">
        <v>67</v>
      </c>
      <c r="E19" s="8" cm="1">
        <f t="array" ref="E19">getDistance($C$2,$D$2,C19,D19)</f>
        <v>1.0227081940247726</v>
      </c>
      <c r="I19" s="4"/>
    </row>
    <row r="20" spans="1:11" x14ac:dyDescent="0.2">
      <c r="A20" s="3">
        <v>100010</v>
      </c>
      <c r="B20" s="3" t="s">
        <v>70</v>
      </c>
      <c r="C20" s="3" t="s">
        <v>72</v>
      </c>
      <c r="D20" s="3" t="s">
        <v>71</v>
      </c>
      <c r="E20" s="8" cm="1">
        <f t="array" ref="E20">getDistance($C$2,$D$2,C20,D20)</f>
        <v>1.1117052696993197</v>
      </c>
      <c r="I20" s="4"/>
    </row>
    <row r="21" spans="1:11" x14ac:dyDescent="0.2">
      <c r="A21" s="3">
        <v>100011</v>
      </c>
      <c r="B21" s="3" t="s">
        <v>73</v>
      </c>
      <c r="C21" s="3" t="s">
        <v>75</v>
      </c>
      <c r="D21" s="3" t="s">
        <v>74</v>
      </c>
      <c r="E21" s="8" cm="1">
        <f t="array" ref="E21">getDistance($C$2,$D$2,C21,D21)</f>
        <v>1.3136685097146446</v>
      </c>
      <c r="I21" s="4"/>
    </row>
    <row r="22" spans="1:11" x14ac:dyDescent="0.2">
      <c r="A22" s="3">
        <v>100012</v>
      </c>
      <c r="B22" s="3" t="s">
        <v>76</v>
      </c>
      <c r="C22" s="3" t="s">
        <v>78</v>
      </c>
      <c r="D22" s="3" t="s">
        <v>77</v>
      </c>
      <c r="E22" s="8" cm="1">
        <f t="array" ref="E22">getDistance($C$2,$D$2,C22,D22)</f>
        <v>1.0488430145702095</v>
      </c>
      <c r="I22" s="4"/>
    </row>
    <row r="23" spans="1:11" x14ac:dyDescent="0.2">
      <c r="A23" s="3">
        <v>100013</v>
      </c>
      <c r="B23" s="3" t="s">
        <v>80</v>
      </c>
      <c r="C23" s="3" t="s">
        <v>82</v>
      </c>
      <c r="D23" s="3" t="s">
        <v>81</v>
      </c>
      <c r="E23" s="8" cm="1">
        <f t="array" ref="E23">getDistance($C$2,$D$2,C23,D23)</f>
        <v>1.1677251955643566</v>
      </c>
      <c r="I23" s="4"/>
    </row>
    <row r="24" spans="1:11" x14ac:dyDescent="0.2">
      <c r="A24" s="3">
        <v>100014</v>
      </c>
      <c r="B24" s="3" t="s">
        <v>84</v>
      </c>
      <c r="C24" s="3" t="s">
        <v>86</v>
      </c>
      <c r="D24" s="3" t="s">
        <v>85</v>
      </c>
      <c r="E24" s="8" cm="1">
        <f t="array" ref="E24">getDistance($C$2,$D$2,C24,D24)</f>
        <v>1.1228196240096313</v>
      </c>
      <c r="I24" s="4"/>
    </row>
    <row r="25" spans="1:11" x14ac:dyDescent="0.2">
      <c r="A25" s="3">
        <v>100015</v>
      </c>
      <c r="B25" s="3" t="s">
        <v>88</v>
      </c>
      <c r="C25" s="3" t="s">
        <v>90</v>
      </c>
      <c r="D25" s="3" t="s">
        <v>89</v>
      </c>
      <c r="E25" s="8" cm="1">
        <f t="array" ref="E25">getDistance($C$2,$D$2,C25,D25)</f>
        <v>0.82720328276187483</v>
      </c>
      <c r="G25" s="3"/>
      <c r="I25" s="4"/>
    </row>
    <row r="26" spans="1:11" x14ac:dyDescent="0.2">
      <c r="A26" s="3">
        <v>100016</v>
      </c>
      <c r="B26" s="3" t="s">
        <v>92</v>
      </c>
      <c r="C26" s="3" t="s">
        <v>94</v>
      </c>
      <c r="D26" s="3" t="s">
        <v>93</v>
      </c>
      <c r="E26" s="8" cm="1">
        <f t="array" ref="E26">getDistance($C$2,$D$2,C26,D26)</f>
        <v>0.95133837647790098</v>
      </c>
      <c r="G26" s="3"/>
      <c r="I26" s="4"/>
      <c r="K26" s="4"/>
    </row>
    <row r="27" spans="1:11" x14ac:dyDescent="0.2">
      <c r="A27" s="3">
        <v>100017</v>
      </c>
      <c r="B27" s="3" t="s">
        <v>96</v>
      </c>
      <c r="C27" s="3" t="s">
        <v>98</v>
      </c>
      <c r="D27" s="3" t="s">
        <v>97</v>
      </c>
      <c r="E27" s="8" cm="1">
        <f t="array" ref="E27">getDistance($C$2,$D$2,C27,D27)</f>
        <v>1.1075140841777489</v>
      </c>
      <c r="G27" s="3"/>
      <c r="I27" s="4"/>
      <c r="K27" s="4"/>
    </row>
    <row r="28" spans="1:11" x14ac:dyDescent="0.2">
      <c r="A28" s="3">
        <v>100018</v>
      </c>
      <c r="B28" s="3" t="s">
        <v>99</v>
      </c>
      <c r="C28" s="3" t="s">
        <v>101</v>
      </c>
      <c r="D28" s="3" t="s">
        <v>100</v>
      </c>
      <c r="E28" s="8" cm="1">
        <f t="array" ref="E28">getDistance($C$2,$D$2,C28,D28)</f>
        <v>1.2024634840939774</v>
      </c>
      <c r="G28" s="3"/>
      <c r="I28" s="4"/>
      <c r="K28" s="4"/>
    </row>
    <row r="29" spans="1:11" x14ac:dyDescent="0.2">
      <c r="A29" s="3">
        <v>100019</v>
      </c>
      <c r="B29" s="3" t="s">
        <v>104</v>
      </c>
      <c r="C29" s="3" t="s">
        <v>106</v>
      </c>
      <c r="D29" s="3" t="s">
        <v>105</v>
      </c>
      <c r="E29" s="8" cm="1">
        <f t="array" ref="E29">getDistance($C$2,$D$2,C29,D29)</f>
        <v>1.2387743540946647</v>
      </c>
      <c r="I29" s="4"/>
      <c r="K29" s="4"/>
    </row>
    <row r="30" spans="1:11" x14ac:dyDescent="0.2">
      <c r="A30" s="3">
        <v>100020</v>
      </c>
      <c r="B30" s="3" t="s">
        <v>108</v>
      </c>
      <c r="C30" s="3" t="s">
        <v>110</v>
      </c>
      <c r="D30" s="3" t="s">
        <v>109</v>
      </c>
      <c r="E30" s="8" cm="1">
        <f t="array" ref="E30">getDistance($C$2,$D$2,C30,D30)</f>
        <v>1.0236557851743702</v>
      </c>
      <c r="I30" s="4"/>
      <c r="K30" s="4"/>
    </row>
    <row r="31" spans="1:11" x14ac:dyDescent="0.2">
      <c r="A31" s="3">
        <v>100021</v>
      </c>
      <c r="B31" s="3" t="s">
        <v>111</v>
      </c>
      <c r="C31" s="3" t="s">
        <v>113</v>
      </c>
      <c r="D31" s="3" t="s">
        <v>112</v>
      </c>
      <c r="E31" s="8" cm="1">
        <f t="array" ref="E31">getDistance($C$2,$D$2,C31,D31)</f>
        <v>1.2071255429827186</v>
      </c>
      <c r="I31" s="4"/>
      <c r="K31" s="4"/>
    </row>
    <row r="32" spans="1:11" x14ac:dyDescent="0.2">
      <c r="A32" s="3" t="s">
        <v>244</v>
      </c>
      <c r="B32" s="3" t="s">
        <v>115</v>
      </c>
      <c r="C32" s="3" t="s">
        <v>117</v>
      </c>
      <c r="D32" s="3" t="s">
        <v>116</v>
      </c>
      <c r="E32" s="8" cm="1">
        <f t="array" ref="E32">getDistance($C$2,$D$2,C32,D32)</f>
        <v>0.80346583798631843</v>
      </c>
      <c r="I32" s="4"/>
      <c r="K32" s="4"/>
    </row>
    <row r="33" spans="1:11" x14ac:dyDescent="0.2">
      <c r="A33" s="3" t="s">
        <v>245</v>
      </c>
      <c r="B33" s="3" t="s">
        <v>115</v>
      </c>
      <c r="C33" s="3" t="s">
        <v>117</v>
      </c>
      <c r="D33" s="3" t="s">
        <v>116</v>
      </c>
      <c r="E33" s="8" cm="1">
        <f t="array" ref="E33">getDistance($C$2,$D$2,C33,D33)</f>
        <v>0.80346583798631843</v>
      </c>
      <c r="I33" s="4"/>
      <c r="K33" s="4"/>
    </row>
    <row r="34" spans="1:11" x14ac:dyDescent="0.2">
      <c r="A34" s="3" t="s">
        <v>246</v>
      </c>
      <c r="B34" s="3" t="s">
        <v>115</v>
      </c>
      <c r="C34" s="3" t="s">
        <v>117</v>
      </c>
      <c r="D34" s="3" t="s">
        <v>116</v>
      </c>
      <c r="E34" s="8" cm="1">
        <f t="array" ref="E34">getDistance($C$2,$D$2,C34,D34)</f>
        <v>0.80346583798631843</v>
      </c>
      <c r="I34" s="4"/>
      <c r="K34" s="4"/>
    </row>
    <row r="35" spans="1:11" x14ac:dyDescent="0.2">
      <c r="A35" s="3" t="s">
        <v>247</v>
      </c>
      <c r="B35" s="3" t="s">
        <v>115</v>
      </c>
      <c r="C35" s="3" t="s">
        <v>117</v>
      </c>
      <c r="D35" s="3" t="s">
        <v>116</v>
      </c>
      <c r="E35" s="8" cm="1">
        <f t="array" ref="E35">getDistance($C$2,$D$2,C35,D35)</f>
        <v>0.80346583798631843</v>
      </c>
      <c r="I35" s="4"/>
      <c r="K35" s="4"/>
    </row>
    <row r="36" spans="1:11" x14ac:dyDescent="0.2">
      <c r="A36" s="3">
        <v>100023</v>
      </c>
      <c r="B36" s="3" t="s">
        <v>121</v>
      </c>
      <c r="C36" s="3" t="s">
        <v>123</v>
      </c>
      <c r="D36" s="3" t="s">
        <v>122</v>
      </c>
      <c r="E36" s="8" cm="1">
        <f t="array" ref="E36">getDistance($C$2,$D$2,C36,D36)</f>
        <v>0.81978541672046923</v>
      </c>
      <c r="I36" s="4"/>
      <c r="K36" s="4"/>
    </row>
    <row r="37" spans="1:11" x14ac:dyDescent="0.2">
      <c r="A37" s="3">
        <v>100024</v>
      </c>
      <c r="B37" s="3" t="s">
        <v>126</v>
      </c>
      <c r="C37" s="3" t="s">
        <v>128</v>
      </c>
      <c r="D37" s="3" t="s">
        <v>127</v>
      </c>
      <c r="E37" s="8" cm="1">
        <f t="array" ref="E37">getDistance($C$2,$D$2,C37,D37)</f>
        <v>0.84093349226036218</v>
      </c>
      <c r="I37" s="4"/>
      <c r="K37" s="4"/>
    </row>
    <row r="38" spans="1:11" x14ac:dyDescent="0.2">
      <c r="A38" s="3">
        <v>100025</v>
      </c>
      <c r="B38" s="3" t="s">
        <v>130</v>
      </c>
      <c r="C38" s="3" t="s">
        <v>132</v>
      </c>
      <c r="D38" s="3" t="s">
        <v>131</v>
      </c>
      <c r="E38" s="8" cm="1">
        <f t="array" ref="E38">getDistance($C$2,$D$2,C38,D38)</f>
        <v>1.10287952800294</v>
      </c>
      <c r="I38" s="4"/>
      <c r="K38" s="4"/>
    </row>
    <row r="39" spans="1:11" x14ac:dyDescent="0.2">
      <c r="A39" s="3" t="s">
        <v>248</v>
      </c>
      <c r="B39" s="3" t="s">
        <v>134</v>
      </c>
      <c r="C39" s="3" t="s">
        <v>48</v>
      </c>
      <c r="D39" s="3" t="s">
        <v>47</v>
      </c>
      <c r="E39" s="8" cm="1">
        <f t="array" ref="E39">getDistance($C$2,$D$2,C39,D39)</f>
        <v>1.1334278140336607</v>
      </c>
      <c r="I39" s="4"/>
      <c r="K39" s="4"/>
    </row>
    <row r="40" spans="1:11" x14ac:dyDescent="0.2">
      <c r="A40" s="3" t="s">
        <v>249</v>
      </c>
      <c r="B40" s="3" t="s">
        <v>134</v>
      </c>
      <c r="C40" s="3" t="s">
        <v>48</v>
      </c>
      <c r="D40" s="3" t="s">
        <v>47</v>
      </c>
      <c r="E40" s="8" cm="1">
        <f t="array" ref="E40">getDistance($C$2,$D$2,C40,D40)</f>
        <v>1.1334278140336607</v>
      </c>
      <c r="I40" s="4"/>
      <c r="K40" s="4"/>
    </row>
    <row r="41" spans="1:11" x14ac:dyDescent="0.2">
      <c r="A41" s="3">
        <v>100027</v>
      </c>
      <c r="B41" s="3" t="s">
        <v>136</v>
      </c>
      <c r="C41" s="3" t="s">
        <v>138</v>
      </c>
      <c r="D41" s="3" t="s">
        <v>137</v>
      </c>
      <c r="E41" s="8" cm="1">
        <f t="array" ref="E41">getDistance($C$2,$D$2,C41,D41)</f>
        <v>0.88846044707882121</v>
      </c>
      <c r="I41" s="4"/>
      <c r="K41" s="4"/>
    </row>
    <row r="42" spans="1:11" x14ac:dyDescent="0.2">
      <c r="A42" s="3">
        <v>100028</v>
      </c>
      <c r="B42" s="3" t="s">
        <v>140</v>
      </c>
      <c r="C42" s="3" t="s">
        <v>68</v>
      </c>
      <c r="D42" s="3" t="s">
        <v>141</v>
      </c>
      <c r="E42" s="8" cm="1">
        <f t="array" ref="E42">getDistance($C$2,$D$2,C42,D42)</f>
        <v>0.50989632887011394</v>
      </c>
      <c r="I42" s="4"/>
      <c r="K42" s="4"/>
    </row>
    <row r="43" spans="1:11" x14ac:dyDescent="0.2">
      <c r="A43" s="3">
        <v>100029</v>
      </c>
      <c r="B43" s="3" t="s">
        <v>144</v>
      </c>
      <c r="C43" s="3" t="s">
        <v>146</v>
      </c>
      <c r="D43" s="3" t="s">
        <v>145</v>
      </c>
      <c r="E43" s="8" cm="1">
        <f t="array" ref="E43">getDistance($C$2,$D$2,C43,D43)</f>
        <v>1.0431838564850318</v>
      </c>
      <c r="I43" s="4"/>
      <c r="K43" s="4"/>
    </row>
    <row r="44" spans="1:11" x14ac:dyDescent="0.2">
      <c r="A44" s="3">
        <v>100030</v>
      </c>
      <c r="B44" s="3" t="s">
        <v>147</v>
      </c>
      <c r="C44" s="3" t="s">
        <v>149</v>
      </c>
      <c r="D44" s="3" t="s">
        <v>148</v>
      </c>
      <c r="E44" s="8" cm="1">
        <f t="array" ref="E44">getDistance($C$2,$D$2,C44,D44)</f>
        <v>1.1463397095242709</v>
      </c>
      <c r="I44" s="4"/>
      <c r="K44" s="4"/>
    </row>
    <row r="45" spans="1:11" x14ac:dyDescent="0.2">
      <c r="A45" s="3">
        <v>100031</v>
      </c>
      <c r="B45" s="3" t="s">
        <v>150</v>
      </c>
      <c r="C45" s="3" t="s">
        <v>152</v>
      </c>
      <c r="D45" s="3" t="s">
        <v>151</v>
      </c>
      <c r="E45" s="8" cm="1">
        <f t="array" ref="E45">getDistance($C$2,$D$2,C45,D45)</f>
        <v>0.78588177091615186</v>
      </c>
      <c r="I45" s="4"/>
      <c r="K45" s="4"/>
    </row>
    <row r="46" spans="1:11" x14ac:dyDescent="0.2">
      <c r="A46" s="3">
        <v>100032</v>
      </c>
      <c r="B46" s="3" t="s">
        <v>154</v>
      </c>
      <c r="C46" s="3" t="s">
        <v>156</v>
      </c>
      <c r="D46" s="3" t="s">
        <v>155</v>
      </c>
      <c r="E46" s="8" cm="1">
        <f t="array" ref="E46">getDistance($C$2,$D$2,C46,D46)</f>
        <v>0.74051167624266623</v>
      </c>
      <c r="I46" s="4"/>
      <c r="K46" s="4"/>
    </row>
    <row r="47" spans="1:11" x14ac:dyDescent="0.2">
      <c r="A47" s="3">
        <v>100033</v>
      </c>
      <c r="B47" s="3" t="s">
        <v>158</v>
      </c>
      <c r="C47" s="3" t="s">
        <v>159</v>
      </c>
      <c r="D47" s="3" t="s">
        <v>39</v>
      </c>
      <c r="E47" s="8" cm="1">
        <f t="array" ref="E47">getDistance($C$2,$D$2,C47,D47)</f>
        <v>1.0329844268768338</v>
      </c>
      <c r="I47" s="4"/>
      <c r="K47" s="4"/>
    </row>
    <row r="48" spans="1:11" x14ac:dyDescent="0.2">
      <c r="A48" s="3">
        <v>100034</v>
      </c>
      <c r="B48" s="3" t="s">
        <v>162</v>
      </c>
      <c r="C48" s="3" t="s">
        <v>163</v>
      </c>
      <c r="D48" s="3" t="s">
        <v>127</v>
      </c>
      <c r="E48" s="8" cm="1">
        <f t="array" ref="E48">getDistance($C$2,$D$2,C48,D48)</f>
        <v>1.3074161593471236</v>
      </c>
      <c r="I48" s="4"/>
      <c r="K48" s="4"/>
    </row>
    <row r="49" spans="1:11" x14ac:dyDescent="0.2">
      <c r="A49" s="3" t="s">
        <v>203</v>
      </c>
      <c r="B49" s="3" t="s">
        <v>202</v>
      </c>
      <c r="C49" s="3">
        <v>47.421420500000004</v>
      </c>
      <c r="D49" s="3">
        <v>9.3731755999999997</v>
      </c>
      <c r="E49" s="8" cm="1">
        <f t="array" ref="E49">getDistance($C$2,$D$2,C49,D49)</f>
        <v>63.684686072366716</v>
      </c>
      <c r="I49" s="4"/>
      <c r="K49" s="4"/>
    </row>
    <row r="50" spans="1:11" x14ac:dyDescent="0.2">
      <c r="A50" s="3" t="s">
        <v>208</v>
      </c>
      <c r="B50" s="3" t="s">
        <v>207</v>
      </c>
      <c r="C50" s="3" t="s">
        <v>211</v>
      </c>
      <c r="D50" s="3" t="s">
        <v>212</v>
      </c>
      <c r="E50" s="8" cm="1">
        <f t="array" ref="E50">getDistance($C$2,$D$2,C50,D50)</f>
        <v>64.05901704641694</v>
      </c>
      <c r="I50" s="4"/>
      <c r="K50" s="4"/>
    </row>
    <row r="51" spans="1:11" x14ac:dyDescent="0.2">
      <c r="A51" s="3" t="s">
        <v>213</v>
      </c>
      <c r="B51" s="3" t="s">
        <v>250</v>
      </c>
      <c r="C51" s="3" t="s">
        <v>211</v>
      </c>
      <c r="D51" s="3" t="s">
        <v>214</v>
      </c>
      <c r="E51" s="8" cm="1">
        <f t="array" ref="E51">getDistance($C$2,$D$2,C51,D51)</f>
        <v>63.894646983796505</v>
      </c>
      <c r="I51" s="4"/>
      <c r="K51" s="4"/>
    </row>
    <row r="52" spans="1:11" x14ac:dyDescent="0.2">
      <c r="A52" s="3" t="s">
        <v>218</v>
      </c>
      <c r="B52" t="s">
        <v>217</v>
      </c>
      <c r="C52" s="3" t="s">
        <v>219</v>
      </c>
      <c r="D52" s="3" t="s">
        <v>220</v>
      </c>
      <c r="E52" s="8" cm="1">
        <f t="array" ref="E52">getDistance($C$2,$D$2,C52,D52)</f>
        <v>74.401742021281194</v>
      </c>
      <c r="I52" s="4"/>
      <c r="K52" s="4"/>
    </row>
    <row r="53" spans="1:11" x14ac:dyDescent="0.2">
      <c r="A53" s="3" t="s">
        <v>237</v>
      </c>
      <c r="B53" t="s">
        <v>224</v>
      </c>
      <c r="C53" s="3" t="s">
        <v>219</v>
      </c>
      <c r="D53" s="3" t="s">
        <v>220</v>
      </c>
      <c r="E53" s="8" cm="1">
        <f t="array" ref="E53">getDistance($C$2,$D$2,C53,D53)</f>
        <v>74.401742021281194</v>
      </c>
      <c r="I53" s="4"/>
      <c r="K53" s="4"/>
    </row>
    <row r="54" spans="1:11" x14ac:dyDescent="0.2">
      <c r="A54" s="3" t="s">
        <v>228</v>
      </c>
      <c r="B54" t="s">
        <v>227</v>
      </c>
      <c r="C54" s="3" t="s">
        <v>239</v>
      </c>
      <c r="D54" s="3" t="s">
        <v>240</v>
      </c>
      <c r="E54" s="8" cm="1">
        <f t="array" ref="E54">getDistance($C$2,$D$2,C54,D54)</f>
        <v>94.684567397407392</v>
      </c>
      <c r="I54" s="4"/>
      <c r="K54" s="4"/>
    </row>
    <row r="55" spans="1:11" x14ac:dyDescent="0.2">
      <c r="A55" s="3" t="s">
        <v>236</v>
      </c>
      <c r="B55" t="s">
        <v>234</v>
      </c>
      <c r="C55" s="3" t="s">
        <v>239</v>
      </c>
      <c r="D55" s="3" t="s">
        <v>240</v>
      </c>
      <c r="E55" s="8" cm="1">
        <f t="array" ref="E55">getDistance($C$2,$D$2,C55,D55)</f>
        <v>94.684567397407392</v>
      </c>
      <c r="I55" s="4"/>
      <c r="K55" s="4"/>
    </row>
    <row r="56" spans="1:11" x14ac:dyDescent="0.2">
      <c r="A56" s="3" t="s">
        <v>236</v>
      </c>
      <c r="B56" t="s">
        <v>238</v>
      </c>
      <c r="C56" s="3" t="s">
        <v>239</v>
      </c>
      <c r="D56" s="3" t="s">
        <v>240</v>
      </c>
      <c r="E56" s="8" cm="1">
        <f t="array" ref="E56">getDistance($C$2,$D$2,C56,D56)</f>
        <v>94.684567397407392</v>
      </c>
      <c r="I56" s="4"/>
      <c r="K56" s="4"/>
    </row>
    <row r="57" spans="1:11" x14ac:dyDescent="0.2">
      <c r="A57" s="3"/>
      <c r="I57" s="4"/>
      <c r="K57" s="4"/>
    </row>
    <row r="58" spans="1:11" x14ac:dyDescent="0.2">
      <c r="A58" s="3"/>
      <c r="I58" s="4"/>
      <c r="K58" s="4"/>
    </row>
    <row r="59" spans="1:11" x14ac:dyDescent="0.2">
      <c r="A59" s="3"/>
      <c r="I59" s="4"/>
      <c r="K59" s="4"/>
    </row>
    <row r="60" spans="1:11" x14ac:dyDescent="0.2">
      <c r="A60" s="3"/>
      <c r="I60" s="4"/>
      <c r="K60" s="4"/>
    </row>
    <row r="61" spans="1:11" x14ac:dyDescent="0.2">
      <c r="A61" s="3"/>
      <c r="I61" s="4"/>
      <c r="K61" s="4"/>
    </row>
    <row r="62" spans="1:11" x14ac:dyDescent="0.2">
      <c r="A62" s="3"/>
      <c r="I62" s="4"/>
      <c r="K62" s="4"/>
    </row>
    <row r="63" spans="1:11" x14ac:dyDescent="0.2">
      <c r="A63" s="3"/>
      <c r="I63" s="4"/>
      <c r="K63" s="4"/>
    </row>
    <row r="64" spans="1:1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A9DB0-34D1-2048-B343-964EBA099C78}">
  <sheetPr codeName="Sheet13"/>
  <dimension ref="A1:V68"/>
  <sheetViews>
    <sheetView zoomScale="120" zoomScaleNormal="120" workbookViewId="0">
      <selection activeCell="E4" sqref="E4:E56"/>
    </sheetView>
  </sheetViews>
  <sheetFormatPr baseColWidth="10" defaultColWidth="11.5" defaultRowHeight="15" x14ac:dyDescent="0.2"/>
  <cols>
    <col min="1" max="1" width="13.6640625" bestFit="1" customWidth="1"/>
    <col min="2" max="2" width="29.1640625" bestFit="1" customWidth="1"/>
    <col min="3" max="3" width="11.33203125" bestFit="1" customWidth="1"/>
    <col min="4" max="4" width="10.6640625" bestFit="1" customWidth="1"/>
    <col min="5" max="5" width="11.1640625" customWidth="1"/>
    <col min="6" max="6" width="14.33203125" bestFit="1" customWidth="1"/>
    <col min="7" max="7" width="4.83203125" customWidth="1"/>
  </cols>
  <sheetData>
    <row r="1" spans="1:22" ht="17" customHeight="1" x14ac:dyDescent="0.2">
      <c r="A1" s="1" t="s">
        <v>251</v>
      </c>
      <c r="B1" s="1" t="s">
        <v>257</v>
      </c>
      <c r="C1" s="1" t="s">
        <v>4</v>
      </c>
      <c r="D1" s="1" t="s">
        <v>3</v>
      </c>
      <c r="E1" s="1" t="s">
        <v>275</v>
      </c>
      <c r="F1" s="1" t="s">
        <v>263</v>
      </c>
    </row>
    <row r="2" spans="1:22" x14ac:dyDescent="0.2">
      <c r="A2" s="3" t="s">
        <v>253</v>
      </c>
      <c r="B2" t="s">
        <v>259</v>
      </c>
      <c r="C2">
        <v>47.268203</v>
      </c>
      <c r="D2">
        <v>7.4096177000000001</v>
      </c>
      <c r="F2" t="s">
        <v>279</v>
      </c>
    </row>
    <row r="3" spans="1:22" x14ac:dyDescent="0.2">
      <c r="A3" s="1" t="s">
        <v>0</v>
      </c>
      <c r="B3" s="1" t="s">
        <v>2</v>
      </c>
      <c r="C3" s="1" t="s">
        <v>4</v>
      </c>
      <c r="D3" s="1" t="s">
        <v>3</v>
      </c>
    </row>
    <row r="4" spans="1:22" x14ac:dyDescent="0.2">
      <c r="A4" s="3" t="s">
        <v>191</v>
      </c>
      <c r="B4" s="3" t="s">
        <v>28</v>
      </c>
      <c r="C4" s="3" t="s">
        <v>30</v>
      </c>
      <c r="D4" s="3" t="s">
        <v>29</v>
      </c>
      <c r="E4" s="8" cm="1">
        <f t="array" ref="E4">getDistance($C$2,$D$2,C4,D4)</f>
        <v>86.255054290408168</v>
      </c>
    </row>
    <row r="5" spans="1:22" x14ac:dyDescent="0.2">
      <c r="A5" s="3" t="s">
        <v>192</v>
      </c>
      <c r="B5" s="3" t="s">
        <v>28</v>
      </c>
      <c r="C5" s="3" t="s">
        <v>30</v>
      </c>
      <c r="D5" s="3" t="s">
        <v>29</v>
      </c>
      <c r="E5" s="8" cm="1">
        <f t="array" ref="E5">getDistance($C$2,$D$2,C5,D5)</f>
        <v>86.255054290408168</v>
      </c>
      <c r="K5" t="s">
        <v>276</v>
      </c>
    </row>
    <row r="6" spans="1:22" x14ac:dyDescent="0.2">
      <c r="A6" s="3" t="s">
        <v>193</v>
      </c>
      <c r="B6" s="3" t="s">
        <v>28</v>
      </c>
      <c r="C6" s="3" t="s">
        <v>30</v>
      </c>
      <c r="D6" s="3" t="s">
        <v>29</v>
      </c>
      <c r="E6" s="8" cm="1">
        <f t="array" ref="E6">getDistance($C$2,$D$2,C6,D6)</f>
        <v>86.255054290408168</v>
      </c>
    </row>
    <row r="7" spans="1:22" x14ac:dyDescent="0.2">
      <c r="A7" s="3" t="s">
        <v>194</v>
      </c>
      <c r="B7" s="3" t="s">
        <v>38</v>
      </c>
      <c r="C7" s="3" t="s">
        <v>40</v>
      </c>
      <c r="D7" s="3" t="s">
        <v>39</v>
      </c>
      <c r="E7" s="8" cm="1">
        <f t="array" ref="E7">getDistance($C$2,$D$2,C7,D7)</f>
        <v>86.282572528883207</v>
      </c>
    </row>
    <row r="8" spans="1:22" x14ac:dyDescent="0.2">
      <c r="A8" s="3" t="s">
        <v>197</v>
      </c>
      <c r="B8" s="3" t="s">
        <v>38</v>
      </c>
      <c r="C8" s="3" t="s">
        <v>40</v>
      </c>
      <c r="D8" s="3" t="s">
        <v>39</v>
      </c>
      <c r="E8" s="8" cm="1">
        <f t="array" ref="E8">getDistance($C$2,$D$2,C8,D8)</f>
        <v>86.282572528883207</v>
      </c>
    </row>
    <row r="9" spans="1:22" x14ac:dyDescent="0.2">
      <c r="A9" s="3" t="s">
        <v>198</v>
      </c>
      <c r="B9" s="3" t="s">
        <v>38</v>
      </c>
      <c r="C9" s="3" t="s">
        <v>40</v>
      </c>
      <c r="D9" s="3" t="s">
        <v>39</v>
      </c>
      <c r="E9" s="8" cm="1">
        <f t="array" ref="E9">getDistance($C$2,$D$2,C9,D9)</f>
        <v>86.282572528883207</v>
      </c>
    </row>
    <row r="10" spans="1:22" ht="17" customHeight="1" x14ac:dyDescent="0.2">
      <c r="A10" s="3" t="s">
        <v>199</v>
      </c>
      <c r="B10" s="3" t="s">
        <v>38</v>
      </c>
      <c r="C10" s="3" t="s">
        <v>40</v>
      </c>
      <c r="D10" s="3" t="s">
        <v>39</v>
      </c>
      <c r="E10" s="8" cm="1">
        <f t="array" ref="E10">getDistance($C$2,$D$2,C10,D10)</f>
        <v>86.282572528883207</v>
      </c>
      <c r="V10" s="2"/>
    </row>
    <row r="11" spans="1:22" x14ac:dyDescent="0.2">
      <c r="A11" s="3" t="s">
        <v>195</v>
      </c>
      <c r="B11" s="3" t="s">
        <v>42</v>
      </c>
      <c r="C11" s="3" t="s">
        <v>44</v>
      </c>
      <c r="D11" s="3" t="s">
        <v>43</v>
      </c>
      <c r="E11" s="8" cm="1">
        <f t="array" ref="E11">getDistance($C$2,$D$2,C11,D11)</f>
        <v>86.989782105607773</v>
      </c>
      <c r="G11" s="4"/>
    </row>
    <row r="12" spans="1:22" x14ac:dyDescent="0.2">
      <c r="A12" s="3" t="s">
        <v>200</v>
      </c>
      <c r="B12" s="3" t="s">
        <v>42</v>
      </c>
      <c r="C12" s="3" t="s">
        <v>44</v>
      </c>
      <c r="D12" s="3" t="s">
        <v>43</v>
      </c>
      <c r="E12" s="8" cm="1">
        <f t="array" ref="E12">getDistance($C$2,$D$2,C12,D12)</f>
        <v>86.989782105607773</v>
      </c>
      <c r="G12" s="3"/>
    </row>
    <row r="13" spans="1:22" x14ac:dyDescent="0.2">
      <c r="A13" s="3" t="s">
        <v>196</v>
      </c>
      <c r="B13" s="3" t="s">
        <v>46</v>
      </c>
      <c r="C13" s="3" t="s">
        <v>48</v>
      </c>
      <c r="D13" s="3" t="s">
        <v>47</v>
      </c>
      <c r="E13" s="8" cm="1">
        <f t="array" ref="E13">getDistance($C$2,$D$2,C13,D13)</f>
        <v>86.37981869361758</v>
      </c>
      <c r="G13" s="3"/>
    </row>
    <row r="14" spans="1:22" x14ac:dyDescent="0.2">
      <c r="A14" s="3" t="s">
        <v>201</v>
      </c>
      <c r="B14" s="3" t="s">
        <v>46</v>
      </c>
      <c r="C14" s="3" t="s">
        <v>48</v>
      </c>
      <c r="D14" s="3" t="s">
        <v>47</v>
      </c>
      <c r="E14" s="8" cm="1">
        <f t="array" ref="E14">getDistance($C$2,$D$2,C14,D14)</f>
        <v>86.37981869361758</v>
      </c>
      <c r="G14" s="3"/>
    </row>
    <row r="15" spans="1:22" x14ac:dyDescent="0.2">
      <c r="A15" s="3" t="s">
        <v>243</v>
      </c>
      <c r="B15" s="3" t="s">
        <v>50</v>
      </c>
      <c r="C15" s="3" t="s">
        <v>52</v>
      </c>
      <c r="D15" s="3" t="s">
        <v>51</v>
      </c>
      <c r="E15" s="8" cm="1">
        <f t="array" ref="E15">getDistance($C$2,$D$2,C15,D15)</f>
        <v>86.312506447741114</v>
      </c>
      <c r="I15" s="4"/>
    </row>
    <row r="16" spans="1:22" x14ac:dyDescent="0.2">
      <c r="A16" s="3">
        <v>100006</v>
      </c>
      <c r="B16" s="3" t="s">
        <v>54</v>
      </c>
      <c r="C16" s="3" t="s">
        <v>56</v>
      </c>
      <c r="D16" s="3" t="s">
        <v>55</v>
      </c>
      <c r="E16" s="8" cm="1">
        <f t="array" ref="E16">getDistance($C$2,$D$2,C16,D16)</f>
        <v>86.585307181712821</v>
      </c>
      <c r="I16" s="4"/>
    </row>
    <row r="17" spans="1:11" x14ac:dyDescent="0.2">
      <c r="A17" s="3">
        <v>100007</v>
      </c>
      <c r="B17" s="3" t="s">
        <v>58</v>
      </c>
      <c r="C17" s="3" t="s">
        <v>60</v>
      </c>
      <c r="D17" s="3" t="s">
        <v>59</v>
      </c>
      <c r="E17" s="8" cm="1">
        <f t="array" ref="E17">getDistance($C$2,$D$2,C17,D17)</f>
        <v>86.042464241706426</v>
      </c>
      <c r="I17" s="4"/>
    </row>
    <row r="18" spans="1:11" x14ac:dyDescent="0.2">
      <c r="A18" s="3">
        <v>100008</v>
      </c>
      <c r="B18" s="3" t="s">
        <v>62</v>
      </c>
      <c r="C18" s="3" t="s">
        <v>64</v>
      </c>
      <c r="D18" s="3" t="s">
        <v>63</v>
      </c>
      <c r="E18" s="8" cm="1">
        <f t="array" ref="E18">getDistance($C$2,$D$2,C18,D18)</f>
        <v>86.461230385325749</v>
      </c>
      <c r="I18" s="4"/>
    </row>
    <row r="19" spans="1:11" x14ac:dyDescent="0.2">
      <c r="A19" s="3">
        <v>100009</v>
      </c>
      <c r="B19" s="3" t="s">
        <v>66</v>
      </c>
      <c r="C19" s="3" t="s">
        <v>68</v>
      </c>
      <c r="D19" s="3" t="s">
        <v>67</v>
      </c>
      <c r="E19" s="8" cm="1">
        <f t="array" ref="E19">getDistance($C$2,$D$2,C19,D19)</f>
        <v>86.274941286917581</v>
      </c>
      <c r="I19" s="4"/>
    </row>
    <row r="20" spans="1:11" x14ac:dyDescent="0.2">
      <c r="A20" s="3">
        <v>100010</v>
      </c>
      <c r="B20" s="3" t="s">
        <v>70</v>
      </c>
      <c r="C20" s="3" t="s">
        <v>72</v>
      </c>
      <c r="D20" s="3" t="s">
        <v>71</v>
      </c>
      <c r="E20" s="8" cm="1">
        <f t="array" ref="E20">getDistance($C$2,$D$2,C20,D20)</f>
        <v>86.36998778057783</v>
      </c>
      <c r="I20" s="4"/>
    </row>
    <row r="21" spans="1:11" x14ac:dyDescent="0.2">
      <c r="A21" s="3">
        <v>100011</v>
      </c>
      <c r="B21" s="3" t="s">
        <v>73</v>
      </c>
      <c r="C21" s="3" t="s">
        <v>75</v>
      </c>
      <c r="D21" s="3" t="s">
        <v>74</v>
      </c>
      <c r="E21" s="8" cm="1">
        <f t="array" ref="E21">getDistance($C$2,$D$2,C21,D21)</f>
        <v>86.473193011804227</v>
      </c>
      <c r="I21" s="4"/>
    </row>
    <row r="22" spans="1:11" x14ac:dyDescent="0.2">
      <c r="A22" s="3">
        <v>100012</v>
      </c>
      <c r="B22" s="3" t="s">
        <v>76</v>
      </c>
      <c r="C22" s="3" t="s">
        <v>78</v>
      </c>
      <c r="D22" s="3" t="s">
        <v>77</v>
      </c>
      <c r="E22" s="8" cm="1">
        <f t="array" ref="E22">getDistance($C$2,$D$2,C22,D22)</f>
        <v>86.30504007291151</v>
      </c>
      <c r="I22" s="4"/>
    </row>
    <row r="23" spans="1:11" x14ac:dyDescent="0.2">
      <c r="A23" s="3">
        <v>100013</v>
      </c>
      <c r="B23" s="3" t="s">
        <v>80</v>
      </c>
      <c r="C23" s="3" t="s">
        <v>82</v>
      </c>
      <c r="D23" s="3" t="s">
        <v>81</v>
      </c>
      <c r="E23" s="8" cm="1">
        <f t="array" ref="E23">getDistance($C$2,$D$2,C23,D23)</f>
        <v>86.277327552237608</v>
      </c>
      <c r="I23" s="4"/>
    </row>
    <row r="24" spans="1:11" x14ac:dyDescent="0.2">
      <c r="A24" s="3">
        <v>100014</v>
      </c>
      <c r="B24" s="3" t="s">
        <v>84</v>
      </c>
      <c r="C24" s="3" t="s">
        <v>86</v>
      </c>
      <c r="D24" s="3" t="s">
        <v>85</v>
      </c>
      <c r="E24" s="8" cm="1">
        <f t="array" ref="E24">getDistance($C$2,$D$2,C24,D24)</f>
        <v>86.383948893743337</v>
      </c>
      <c r="I24" s="4"/>
    </row>
    <row r="25" spans="1:11" x14ac:dyDescent="0.2">
      <c r="A25" s="3">
        <v>100015</v>
      </c>
      <c r="B25" s="3" t="s">
        <v>88</v>
      </c>
      <c r="C25" s="3" t="s">
        <v>90</v>
      </c>
      <c r="D25" s="3" t="s">
        <v>89</v>
      </c>
      <c r="E25" s="8" cm="1">
        <f t="array" ref="E25">getDistance($C$2,$D$2,C25,D25)</f>
        <v>86.052118270658951</v>
      </c>
      <c r="G25" s="3"/>
      <c r="I25" s="4"/>
    </row>
    <row r="26" spans="1:11" x14ac:dyDescent="0.2">
      <c r="A26" s="3">
        <v>100016</v>
      </c>
      <c r="B26" s="3" t="s">
        <v>92</v>
      </c>
      <c r="C26" s="3" t="s">
        <v>94</v>
      </c>
      <c r="D26" s="3" t="s">
        <v>93</v>
      </c>
      <c r="E26" s="8" cm="1">
        <f t="array" ref="E26">getDistance($C$2,$D$2,C26,D26)</f>
        <v>85.898435591635476</v>
      </c>
      <c r="G26" s="3"/>
      <c r="I26" s="4"/>
      <c r="K26" s="4"/>
    </row>
    <row r="27" spans="1:11" x14ac:dyDescent="0.2">
      <c r="A27" s="3">
        <v>100017</v>
      </c>
      <c r="B27" s="3" t="s">
        <v>96</v>
      </c>
      <c r="C27" s="3" t="s">
        <v>98</v>
      </c>
      <c r="D27" s="3" t="s">
        <v>97</v>
      </c>
      <c r="E27" s="8" cm="1">
        <f t="array" ref="E27">getDistance($C$2,$D$2,C27,D27)</f>
        <v>86.360858961509138</v>
      </c>
      <c r="G27" s="3"/>
      <c r="I27" s="4"/>
      <c r="K27" s="4"/>
    </row>
    <row r="28" spans="1:11" x14ac:dyDescent="0.2">
      <c r="A28" s="3">
        <v>100018</v>
      </c>
      <c r="B28" s="3" t="s">
        <v>99</v>
      </c>
      <c r="C28" s="3" t="s">
        <v>101</v>
      </c>
      <c r="D28" s="3" t="s">
        <v>100</v>
      </c>
      <c r="E28" s="8" cm="1">
        <f t="array" ref="E28">getDistance($C$2,$D$2,C28,D28)</f>
        <v>86.282941705731588</v>
      </c>
      <c r="G28" s="3"/>
      <c r="I28" s="4"/>
      <c r="K28" s="4"/>
    </row>
    <row r="29" spans="1:11" x14ac:dyDescent="0.2">
      <c r="A29" s="3">
        <v>100019</v>
      </c>
      <c r="B29" s="3" t="s">
        <v>104</v>
      </c>
      <c r="C29" s="3" t="s">
        <v>106</v>
      </c>
      <c r="D29" s="3" t="s">
        <v>105</v>
      </c>
      <c r="E29" s="8" cm="1">
        <f t="array" ref="E29">getDistance($C$2,$D$2,C29,D29)</f>
        <v>86.357514172187109</v>
      </c>
      <c r="I29" s="4"/>
      <c r="K29" s="4"/>
    </row>
    <row r="30" spans="1:11" x14ac:dyDescent="0.2">
      <c r="A30" s="3">
        <v>100020</v>
      </c>
      <c r="B30" s="3" t="s">
        <v>108</v>
      </c>
      <c r="C30" s="3" t="s">
        <v>110</v>
      </c>
      <c r="D30" s="3" t="s">
        <v>109</v>
      </c>
      <c r="E30" s="8" cm="1">
        <f t="array" ref="E30">getDistance($C$2,$D$2,C30,D30)</f>
        <v>86.278682313917272</v>
      </c>
      <c r="I30" s="4"/>
      <c r="K30" s="4"/>
    </row>
    <row r="31" spans="1:11" x14ac:dyDescent="0.2">
      <c r="A31" s="3">
        <v>100021</v>
      </c>
      <c r="B31" s="3" t="s">
        <v>111</v>
      </c>
      <c r="C31" s="3" t="s">
        <v>113</v>
      </c>
      <c r="D31" s="3" t="s">
        <v>112</v>
      </c>
      <c r="E31" s="8" cm="1">
        <f t="array" ref="E31">getDistance($C$2,$D$2,C31,D31)</f>
        <v>86.46565119278759</v>
      </c>
      <c r="I31" s="4"/>
      <c r="K31" s="4"/>
    </row>
    <row r="32" spans="1:11" x14ac:dyDescent="0.2">
      <c r="A32" s="3" t="s">
        <v>244</v>
      </c>
      <c r="B32" s="3" t="s">
        <v>115</v>
      </c>
      <c r="C32" s="3" t="s">
        <v>117</v>
      </c>
      <c r="D32" s="3" t="s">
        <v>116</v>
      </c>
      <c r="E32" s="8" cm="1">
        <f t="array" ref="E32">getDistance($C$2,$D$2,C32,D32)</f>
        <v>85.927174518856319</v>
      </c>
      <c r="I32" s="4"/>
      <c r="K32" s="4"/>
    </row>
    <row r="33" spans="1:11" x14ac:dyDescent="0.2">
      <c r="A33" s="3" t="s">
        <v>245</v>
      </c>
      <c r="B33" s="3" t="s">
        <v>115</v>
      </c>
      <c r="C33" s="3" t="s">
        <v>117</v>
      </c>
      <c r="D33" s="3" t="s">
        <v>116</v>
      </c>
      <c r="E33" s="8" cm="1">
        <f t="array" ref="E33">getDistance($C$2,$D$2,C33,D33)</f>
        <v>85.927174518856319</v>
      </c>
      <c r="I33" s="4"/>
      <c r="K33" s="4"/>
    </row>
    <row r="34" spans="1:11" x14ac:dyDescent="0.2">
      <c r="A34" s="3" t="s">
        <v>246</v>
      </c>
      <c r="B34" s="3" t="s">
        <v>115</v>
      </c>
      <c r="C34" s="3" t="s">
        <v>117</v>
      </c>
      <c r="D34" s="3" t="s">
        <v>116</v>
      </c>
      <c r="E34" s="8" cm="1">
        <f t="array" ref="E34">getDistance($C$2,$D$2,C34,D34)</f>
        <v>85.927174518856319</v>
      </c>
      <c r="I34" s="4"/>
      <c r="K34" s="4"/>
    </row>
    <row r="35" spans="1:11" x14ac:dyDescent="0.2">
      <c r="A35" s="3" t="s">
        <v>247</v>
      </c>
      <c r="B35" s="3" t="s">
        <v>115</v>
      </c>
      <c r="C35" s="3" t="s">
        <v>117</v>
      </c>
      <c r="D35" s="3" t="s">
        <v>116</v>
      </c>
      <c r="E35" s="8" cm="1">
        <f t="array" ref="E35">getDistance($C$2,$D$2,C35,D35)</f>
        <v>85.927174518856319</v>
      </c>
      <c r="I35" s="4"/>
      <c r="K35" s="4"/>
    </row>
    <row r="36" spans="1:11" x14ac:dyDescent="0.2">
      <c r="A36" s="3">
        <v>100023</v>
      </c>
      <c r="B36" s="3" t="s">
        <v>121</v>
      </c>
      <c r="C36" s="3" t="s">
        <v>123</v>
      </c>
      <c r="D36" s="3" t="s">
        <v>122</v>
      </c>
      <c r="E36" s="8" cm="1">
        <f t="array" ref="E36">getDistance($C$2,$D$2,C36,D36)</f>
        <v>86.015605548992724</v>
      </c>
      <c r="I36" s="4"/>
      <c r="K36" s="4"/>
    </row>
    <row r="37" spans="1:11" x14ac:dyDescent="0.2">
      <c r="A37" s="3">
        <v>100024</v>
      </c>
      <c r="B37" s="3" t="s">
        <v>126</v>
      </c>
      <c r="C37" s="3" t="s">
        <v>128</v>
      </c>
      <c r="D37" s="3" t="s">
        <v>127</v>
      </c>
      <c r="E37" s="8" cm="1">
        <f t="array" ref="E37">getDistance($C$2,$D$2,C37,D37)</f>
        <v>86.017160546945419</v>
      </c>
      <c r="I37" s="4"/>
      <c r="K37" s="4"/>
    </row>
    <row r="38" spans="1:11" x14ac:dyDescent="0.2">
      <c r="A38" s="3">
        <v>100025</v>
      </c>
      <c r="B38" s="3" t="s">
        <v>130</v>
      </c>
      <c r="C38" s="3" t="s">
        <v>132</v>
      </c>
      <c r="D38" s="3" t="s">
        <v>131</v>
      </c>
      <c r="E38" s="8" cm="1">
        <f t="array" ref="E38">getDistance($C$2,$D$2,C38,D38)</f>
        <v>86.326196779544929</v>
      </c>
      <c r="I38" s="4"/>
      <c r="K38" s="4"/>
    </row>
    <row r="39" spans="1:11" x14ac:dyDescent="0.2">
      <c r="A39" s="3" t="s">
        <v>248</v>
      </c>
      <c r="B39" s="3" t="s">
        <v>134</v>
      </c>
      <c r="C39" s="3" t="s">
        <v>48</v>
      </c>
      <c r="D39" s="3" t="s">
        <v>47</v>
      </c>
      <c r="E39" s="8" cm="1">
        <f t="array" ref="E39">getDistance($C$2,$D$2,C39,D39)</f>
        <v>86.37981869361758</v>
      </c>
      <c r="I39" s="4"/>
      <c r="K39" s="4"/>
    </row>
    <row r="40" spans="1:11" x14ac:dyDescent="0.2">
      <c r="A40" s="3" t="s">
        <v>249</v>
      </c>
      <c r="B40" s="3" t="s">
        <v>134</v>
      </c>
      <c r="C40" s="3" t="s">
        <v>48</v>
      </c>
      <c r="D40" s="3" t="s">
        <v>47</v>
      </c>
      <c r="E40" s="8" cm="1">
        <f t="array" ref="E40">getDistance($C$2,$D$2,C40,D40)</f>
        <v>86.37981869361758</v>
      </c>
      <c r="I40" s="4"/>
      <c r="K40" s="4"/>
    </row>
    <row r="41" spans="1:11" x14ac:dyDescent="0.2">
      <c r="A41" s="3">
        <v>100027</v>
      </c>
      <c r="B41" s="3" t="s">
        <v>136</v>
      </c>
      <c r="C41" s="3" t="s">
        <v>138</v>
      </c>
      <c r="D41" s="3" t="s">
        <v>137</v>
      </c>
      <c r="E41" s="8" cm="1">
        <f t="array" ref="E41">getDistance($C$2,$D$2,C41,D41)</f>
        <v>86.108118263810297</v>
      </c>
      <c r="I41" s="4"/>
      <c r="K41" s="4"/>
    </row>
    <row r="42" spans="1:11" x14ac:dyDescent="0.2">
      <c r="A42" s="3">
        <v>100028</v>
      </c>
      <c r="B42" s="3" t="s">
        <v>140</v>
      </c>
      <c r="C42" s="3" t="s">
        <v>68</v>
      </c>
      <c r="D42" s="3" t="s">
        <v>141</v>
      </c>
      <c r="E42" s="8" cm="1">
        <f t="array" ref="E42">getDistance($C$2,$D$2,C42,D42)</f>
        <v>85.76637730643553</v>
      </c>
      <c r="I42" s="4"/>
      <c r="K42" s="4"/>
    </row>
    <row r="43" spans="1:11" x14ac:dyDescent="0.2">
      <c r="A43" s="3">
        <v>100029</v>
      </c>
      <c r="B43" s="3" t="s">
        <v>144</v>
      </c>
      <c r="C43" s="3" t="s">
        <v>146</v>
      </c>
      <c r="D43" s="3" t="s">
        <v>145</v>
      </c>
      <c r="E43" s="8" cm="1">
        <f t="array" ref="E43">getDistance($C$2,$D$2,C43,D43)</f>
        <v>86.293255801679649</v>
      </c>
      <c r="I43" s="4"/>
      <c r="K43" s="4"/>
    </row>
    <row r="44" spans="1:11" x14ac:dyDescent="0.2">
      <c r="A44" s="3">
        <v>100030</v>
      </c>
      <c r="B44" s="3" t="s">
        <v>147</v>
      </c>
      <c r="C44" s="3" t="s">
        <v>149</v>
      </c>
      <c r="D44" s="3" t="s">
        <v>148</v>
      </c>
      <c r="E44" s="8" cm="1">
        <f t="array" ref="E44">getDistance($C$2,$D$2,C44,D44)</f>
        <v>86.248307434913059</v>
      </c>
      <c r="I44" s="4"/>
      <c r="K44" s="4"/>
    </row>
    <row r="45" spans="1:11" x14ac:dyDescent="0.2">
      <c r="A45" s="3">
        <v>100031</v>
      </c>
      <c r="B45" s="3" t="s">
        <v>150</v>
      </c>
      <c r="C45" s="3" t="s">
        <v>152</v>
      </c>
      <c r="D45" s="3" t="s">
        <v>151</v>
      </c>
      <c r="E45" s="8" cm="1">
        <f t="array" ref="E45">getDistance($C$2,$D$2,C45,D45)</f>
        <v>86.002841757132018</v>
      </c>
      <c r="I45" s="4"/>
      <c r="K45" s="4"/>
    </row>
    <row r="46" spans="1:11" x14ac:dyDescent="0.2">
      <c r="A46" s="3">
        <v>100032</v>
      </c>
      <c r="B46" s="3" t="s">
        <v>154</v>
      </c>
      <c r="C46" s="3" t="s">
        <v>156</v>
      </c>
      <c r="D46" s="3" t="s">
        <v>155</v>
      </c>
      <c r="E46" s="8" cm="1">
        <f t="array" ref="E46">getDistance($C$2,$D$2,C46,D46)</f>
        <v>85.981749720814136</v>
      </c>
      <c r="I46" s="4"/>
      <c r="K46" s="4"/>
    </row>
    <row r="47" spans="1:11" x14ac:dyDescent="0.2">
      <c r="A47" s="3">
        <v>100033</v>
      </c>
      <c r="B47" s="3" t="s">
        <v>158</v>
      </c>
      <c r="C47" s="3" t="s">
        <v>159</v>
      </c>
      <c r="D47" s="3" t="s">
        <v>39</v>
      </c>
      <c r="E47" s="8" cm="1">
        <f t="array" ref="E47">getDistance($C$2,$D$2,C47,D47)</f>
        <v>86.25972619510992</v>
      </c>
      <c r="I47" s="4"/>
      <c r="K47" s="4"/>
    </row>
    <row r="48" spans="1:11" x14ac:dyDescent="0.2">
      <c r="A48" s="3">
        <v>100034</v>
      </c>
      <c r="B48" s="3" t="s">
        <v>162</v>
      </c>
      <c r="C48" s="3" t="s">
        <v>163</v>
      </c>
      <c r="D48" s="3" t="s">
        <v>127</v>
      </c>
      <c r="E48" s="8" cm="1">
        <f t="array" ref="E48">getDistance($C$2,$D$2,C48,D48)</f>
        <v>86.190626641379566</v>
      </c>
      <c r="I48" s="4"/>
      <c r="K48" s="4"/>
    </row>
    <row r="49" spans="1:11" x14ac:dyDescent="0.2">
      <c r="A49" s="3" t="s">
        <v>203</v>
      </c>
      <c r="B49" s="3" t="s">
        <v>202</v>
      </c>
      <c r="C49" s="3">
        <v>47.421420500000004</v>
      </c>
      <c r="D49" s="3">
        <v>9.3731755999999997</v>
      </c>
      <c r="E49" s="8" cm="1">
        <f t="array" ref="E49">getDistance($C$2,$D$2,C49,D49)</f>
        <v>148.91593377532377</v>
      </c>
      <c r="I49" s="4"/>
      <c r="K49" s="4"/>
    </row>
    <row r="50" spans="1:11" x14ac:dyDescent="0.2">
      <c r="A50" s="3" t="s">
        <v>208</v>
      </c>
      <c r="B50" s="3" t="s">
        <v>207</v>
      </c>
      <c r="C50" s="3" t="s">
        <v>211</v>
      </c>
      <c r="D50" s="3" t="s">
        <v>212</v>
      </c>
      <c r="E50" s="8" cm="1">
        <f t="array" ref="E50">getDistance($C$2,$D$2,C50,D50)</f>
        <v>149.30471219252127</v>
      </c>
      <c r="I50" s="4"/>
      <c r="K50" s="4"/>
    </row>
    <row r="51" spans="1:11" x14ac:dyDescent="0.2">
      <c r="A51" s="3" t="s">
        <v>213</v>
      </c>
      <c r="B51" s="3" t="s">
        <v>250</v>
      </c>
      <c r="C51" s="3" t="s">
        <v>211</v>
      </c>
      <c r="D51" s="3" t="s">
        <v>214</v>
      </c>
      <c r="E51" s="8" cm="1">
        <f t="array" ref="E51">getDistance($C$2,$D$2,C51,D51)</f>
        <v>149.14061115021326</v>
      </c>
      <c r="I51" s="4"/>
      <c r="K51" s="4"/>
    </row>
    <row r="52" spans="1:11" x14ac:dyDescent="0.2">
      <c r="A52" s="3" t="s">
        <v>218</v>
      </c>
      <c r="B52" t="s">
        <v>217</v>
      </c>
      <c r="C52" s="3" t="s">
        <v>219</v>
      </c>
      <c r="D52" s="3" t="s">
        <v>220</v>
      </c>
      <c r="E52" s="8" cm="1">
        <f t="array" ref="E52">getDistance($C$2,$D$2,C52,D52)</f>
        <v>34.257652316461737</v>
      </c>
      <c r="I52" s="4"/>
      <c r="K52" s="4"/>
    </row>
    <row r="53" spans="1:11" x14ac:dyDescent="0.2">
      <c r="A53" s="3" t="s">
        <v>237</v>
      </c>
      <c r="B53" t="s">
        <v>224</v>
      </c>
      <c r="C53" s="3" t="s">
        <v>219</v>
      </c>
      <c r="D53" s="3" t="s">
        <v>220</v>
      </c>
      <c r="E53" s="8" cm="1">
        <f t="array" ref="E53">getDistance($C$2,$D$2,C53,D53)</f>
        <v>34.257652316461737</v>
      </c>
      <c r="I53" s="4"/>
      <c r="K53" s="4"/>
    </row>
    <row r="54" spans="1:11" x14ac:dyDescent="0.2">
      <c r="A54" s="3" t="s">
        <v>228</v>
      </c>
      <c r="B54" t="s">
        <v>227</v>
      </c>
      <c r="C54" s="3" t="s">
        <v>239</v>
      </c>
      <c r="D54" s="3" t="s">
        <v>240</v>
      </c>
      <c r="E54" s="8" cm="1">
        <f t="array" ref="E54">getDistance($C$2,$D$2,C54,D54)</f>
        <v>35.759001435363807</v>
      </c>
      <c r="I54" s="4"/>
      <c r="K54" s="4"/>
    </row>
    <row r="55" spans="1:11" x14ac:dyDescent="0.2">
      <c r="A55" s="3" t="s">
        <v>236</v>
      </c>
      <c r="B55" t="s">
        <v>234</v>
      </c>
      <c r="C55" s="3" t="s">
        <v>239</v>
      </c>
      <c r="D55" s="3" t="s">
        <v>240</v>
      </c>
      <c r="E55" s="8" cm="1">
        <f t="array" ref="E55">getDistance($C$2,$D$2,C55,D55)</f>
        <v>35.759001435363807</v>
      </c>
      <c r="I55" s="4"/>
      <c r="K55" s="4"/>
    </row>
    <row r="56" spans="1:11" x14ac:dyDescent="0.2">
      <c r="A56" s="3" t="s">
        <v>236</v>
      </c>
      <c r="B56" t="s">
        <v>238</v>
      </c>
      <c r="C56" s="3" t="s">
        <v>239</v>
      </c>
      <c r="D56" s="3" t="s">
        <v>240</v>
      </c>
      <c r="E56" s="8" cm="1">
        <f t="array" ref="E56">getDistance($C$2,$D$2,C56,D56)</f>
        <v>35.759001435363807</v>
      </c>
      <c r="I56" s="4"/>
      <c r="K56" s="4"/>
    </row>
    <row r="57" spans="1:11" x14ac:dyDescent="0.2">
      <c r="A57" s="3"/>
      <c r="I57" s="4"/>
      <c r="K57" s="4"/>
    </row>
    <row r="58" spans="1:11" x14ac:dyDescent="0.2">
      <c r="A58" s="3"/>
      <c r="I58" s="4"/>
      <c r="K58" s="4"/>
    </row>
    <row r="59" spans="1:11" x14ac:dyDescent="0.2">
      <c r="A59" s="3"/>
      <c r="I59" s="4"/>
      <c r="K59" s="4"/>
    </row>
    <row r="60" spans="1:11" x14ac:dyDescent="0.2">
      <c r="A60" s="3"/>
      <c r="I60" s="4"/>
      <c r="K60" s="4"/>
    </row>
    <row r="61" spans="1:11" x14ac:dyDescent="0.2">
      <c r="A61" s="3"/>
      <c r="I61" s="4"/>
      <c r="K61" s="4"/>
    </row>
    <row r="62" spans="1:11" x14ac:dyDescent="0.2">
      <c r="A62" s="3"/>
      <c r="I62" s="4"/>
      <c r="K62" s="4"/>
    </row>
    <row r="63" spans="1:11" x14ac:dyDescent="0.2">
      <c r="A63" s="3"/>
      <c r="I63" s="4"/>
      <c r="K63" s="4"/>
    </row>
    <row r="64" spans="1:1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F2B084BB8743343B6C6F8446826AE38" ma:contentTypeVersion="4" ma:contentTypeDescription="Ein neues Dokument erstellen." ma:contentTypeScope="" ma:versionID="21b09fee6fe42397979b21c89f07d5d2">
  <xsd:schema xmlns:xsd="http://www.w3.org/2001/XMLSchema" xmlns:xs="http://www.w3.org/2001/XMLSchema" xmlns:p="http://schemas.microsoft.com/office/2006/metadata/properties" xmlns:ns2="8417cd0b-b2fd-42ed-b050-d2feaf7a22c7" targetNamespace="http://schemas.microsoft.com/office/2006/metadata/properties" ma:root="true" ma:fieldsID="8ce2ab5bdef75fde87cb71ef9eb6c1fa" ns2:_="">
    <xsd:import namespace="8417cd0b-b2fd-42ed-b050-d2feaf7a22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7cd0b-b2fd-42ed-b050-d2feaf7a22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6ADB6E1-CEC6-466F-9A8C-95BA300BC6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2DE1AC-05B0-431D-AEF8-317DAA859A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7cd0b-b2fd-42ed-b050-d2feaf7a22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E7A9B-3AA3-48D8-9FC7-BB4C59322BF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Host</vt:lpstr>
      <vt:lpstr>Host Variablen</vt:lpstr>
      <vt:lpstr>User-Scenarios I (Geolocation)</vt:lpstr>
      <vt:lpstr>User-Scenario A</vt:lpstr>
      <vt:lpstr>User-Scenario B</vt:lpstr>
      <vt:lpstr>User-Scenario C</vt:lpstr>
      <vt:lpstr>User-Scenario D</vt:lpstr>
      <vt:lpstr>User-Scenario E</vt:lpstr>
      <vt:lpstr>Distance User A</vt:lpstr>
      <vt:lpstr>Distance User B</vt:lpstr>
      <vt:lpstr>Distance User C</vt:lpstr>
      <vt:lpstr>Distance User D</vt:lpstr>
      <vt:lpstr>Distance User 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Collet</dc:creator>
  <cp:keywords/>
  <dc:description/>
  <cp:lastModifiedBy>Microsoft Office User</cp:lastModifiedBy>
  <cp:revision/>
  <dcterms:created xsi:type="dcterms:W3CDTF">2021-04-22T07:10:28Z</dcterms:created>
  <dcterms:modified xsi:type="dcterms:W3CDTF">2021-05-27T09:31:07Z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0x0101005F2B084BB8743343B6C6F8446826AE38</vt:lpwstr>
  </property>
</Properties>
</file>